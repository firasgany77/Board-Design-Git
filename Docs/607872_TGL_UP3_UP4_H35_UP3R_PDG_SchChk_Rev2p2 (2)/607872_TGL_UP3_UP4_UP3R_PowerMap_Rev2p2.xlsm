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AKMURTHY\AppData\Local\Temp\wz6fe2\"/>
    </mc:Choice>
  </mc:AlternateContent>
  <xr:revisionPtr revIDLastSave="0" documentId="13_ncr:1_{3B9B8CD3-6202-4D26-B16B-BD6AD9C02403}" xr6:coauthVersionLast="45" xr6:coauthVersionMax="45" xr10:uidLastSave="{00000000-0000-0000-0000-000000000000}"/>
  <workbookProtection workbookAlgorithmName="SHA-512" workbookHashValue="NnsICdO4Dt/vcyfbwCWru7qw02ucUskhpoVzkfbpjS2LLLRtGZpHcfl4pDQG0rCdPbFy9v+Kd+cOgyB855TNeA==" workbookSaltValue="9dPw9vzbvUbOmLu/6Zh4qQ==" workbookSpinCount="100000" lockStructure="1"/>
  <bookViews>
    <workbookView xWindow="-108" yWindow="-108" windowWidth="23256" windowHeight="12576" xr2:uid="{00000000-000D-0000-FFFF-FFFF00000000}"/>
  </bookViews>
  <sheets>
    <sheet name="Revision History" sheetId="6" r:id="rId1"/>
    <sheet name="TGL-UP3UP4 Power Map" sheetId="1" r:id="rId2"/>
    <sheet name="TGL Rails and Iccmax" sheetId="7" state="hidden" r:id="rId3"/>
    <sheet name="TGL PL POR" sheetId="8" state="hidden" r:id="rId4"/>
    <sheet name="DRAM_TGL" sheetId="5" state="hidden" r:id="rId5"/>
  </sheets>
  <externalReferences>
    <externalReference r:id="rId6"/>
    <externalReference r:id="rId7"/>
  </externalReferences>
  <definedNames>
    <definedName name="_xlnm._FilterDatabase" localSheetId="2" hidden="1">'TGL Rails and Iccmax'!$Z$5:$AC$95</definedName>
    <definedName name="ConnectedStandby">'TGL-UP3UP4 Power Map'!$K$40</definedName>
    <definedName name="DRAM_IccMax">[1]DRAM_ICL!$B$9:$G$32</definedName>
    <definedName name="DRAM_Rails">[1]DRAM_ICL!$B$8:$G$8</definedName>
    <definedName name="DRAM_Types">[1]DRAM_ICL!$A$9:$A$32</definedName>
    <definedName name="DRAM_Voltages">[1]DRAM_ICL!$P$9:$U$32</definedName>
    <definedName name="H_IccMax">'TGL Rails and Iccmax'!$AQ$6:$AS$96</definedName>
    <definedName name="H_Power_Setting">'[1]ICL-H Power Map'!$C$7</definedName>
    <definedName name="H_SKU_Selection">'[1]ICL-H Power Map'!$C$6</definedName>
    <definedName name="H_SKUs" localSheetId="2">'TGL Rails and Iccmax'!$AQ$5:$AS$5</definedName>
    <definedName name="H_SKUs">#REF!</definedName>
    <definedName name="I_PL2" localSheetId="0">#REF!</definedName>
    <definedName name="I_PL2" localSheetId="2">#REF!</definedName>
    <definedName name="I_PL2">#REF!</definedName>
    <definedName name="ICL_Product_Lines">'TGL Rails and Iccmax'!$AG$103:$AY$103</definedName>
    <definedName name="ICL_SKUs">'TGL Rails and Iccmax'!$AG$5:$AY$5</definedName>
    <definedName name="Load_Descriptions">'TGL Rails and Iccmax'!$AD$6:$AD$102</definedName>
    <definedName name="PD_Variants">'TGL Rails and Iccmax'!$S$5:$Y$5</definedName>
    <definedName name="PG_Enable">'TGL Rails and Iccmax'!$S$6:$Y$96</definedName>
    <definedName name="PL1_V" localSheetId="0">#REF!</definedName>
    <definedName name="PL1_V" localSheetId="2">#REF!</definedName>
    <definedName name="PL1_V">#REF!</definedName>
    <definedName name="PL1max" localSheetId="0">#REF!</definedName>
    <definedName name="PL1max" localSheetId="2">#REF!</definedName>
    <definedName name="PL1max">#REF!</definedName>
    <definedName name="PL1min" localSheetId="0">#REF!</definedName>
    <definedName name="PL1min" localSheetId="2">#REF!</definedName>
    <definedName name="PL1min">#REF!</definedName>
    <definedName name="PL1w" localSheetId="0">#REF!</definedName>
    <definedName name="PL1w" localSheetId="2">#REF!</definedName>
    <definedName name="PL1w">#REF!</definedName>
    <definedName name="PLxChart_Limits">'[1]ICL Power'!$B$5:$K$11</definedName>
    <definedName name="PLxChart_SKUs">'[1]ICL Power'!$C$1:$K$1</definedName>
    <definedName name="Power_Gates_Enable">'TGL Rails and Iccmax'!$S$5:$Y$96</definedName>
    <definedName name="Premium_CEC_Load_Names">'TGL Rails and Iccmax'!$AF$6:$AF$102</definedName>
    <definedName name="_xlnm.Print_Area" localSheetId="2">'TGL Rails and Iccmax'!$B$1:$CH$104</definedName>
    <definedName name="S_IccMax">'TGL Rails and Iccmax'!$AT$6:$AY$102</definedName>
    <definedName name="S_Power_Setting">'[1]ICL-S Power Map'!$C$7</definedName>
    <definedName name="S_SKU_Selection">'[1]ICL-S Power Map'!$C$6</definedName>
    <definedName name="S_SKUs" localSheetId="2">'TGL Rails and Iccmax'!$AT$5:$AY$5</definedName>
    <definedName name="S_SKUs">#REF!</definedName>
    <definedName name="SA_IO">"Straight Arrow Connector 226,Straight Arrow Connector 224,Straight Arrow Connector 218,Straight Arrow Connector 219"</definedName>
    <definedName name="SA_IO_group">"Rectangle 227,Straight Arrow Connector 226,Straight Arrow Connector 218,Straight Arrow Connector 219,Rectangle 225,Straight Arrow Connector 224"</definedName>
    <definedName name="SAIO_group">"Rectangle 227,Rectangle 225,Straight Arrow Connector 226,Straight Arrow Connector 224,Straight Arrow Connector 218,Straight Arrow Connector 219"</definedName>
    <definedName name="Segment_Tier">'TGL-UP3UP4 Power Map'!$F$12</definedName>
    <definedName name="UY_SKUs">#REF!</definedName>
    <definedName name="V1.8_McIVR_group">"Straight Arrow Connector 267,Straight Arrow Connector 268"</definedName>
    <definedName name="V3.3ALSON2_group" localSheetId="0">'[2]CFL-S Power Map'!#REF!</definedName>
    <definedName name="V3.3ALSON2_group" localSheetId="2">'[1]Old -S Map Wrong'!#REF!</definedName>
    <definedName name="V3.3ALSON2_group">#REF!</definedName>
    <definedName name="VCCIO_V_group">"Rectangle 233,Straight Arrow Connector 232,Object 42,Straight Arrow Connector 221"</definedName>
    <definedName name="Volume_Load_Names">'TGL Rails and Iccmax'!$AE$6:$AE$102</definedName>
    <definedName name="YU_CS_Enabled">'TGL-UP3UP4 Power Map'!$C$10</definedName>
    <definedName name="YU_Deep_Sleep">'TGL-UP3UP4 Power Map'!$C$7</definedName>
    <definedName name="YU_Memory_Type">'TGL-UP3UP4 Power Map'!$C$8</definedName>
    <definedName name="YU_Power_Settings">'TGL-UP3UP4 Power Map'!$C$6</definedName>
    <definedName name="YU_Pricing_Tier">'TGL-UP3UP4 Power Map'!$C$9</definedName>
    <definedName name="YU_SKU_Selection">'TGL-UP3UP4 Power Map'!$C$5</definedName>
    <definedName name="YU_SKUs">'TGL Rails and Iccmax'!$AG$5:$AI$5</definedName>
    <definedName name="YU_WoV_Enabled">'TGL-UP3UP4 Power Map'!$C$11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38" i="7" l="1"/>
  <c r="AO33" i="7"/>
  <c r="AO32" i="7"/>
  <c r="F8" i="1" l="1"/>
  <c r="AF6" i="1" l="1"/>
  <c r="Z8" i="1" s="1"/>
  <c r="F5" i="1"/>
  <c r="F12" i="1" s="1"/>
  <c r="AK6" i="1" l="1"/>
  <c r="AG6" i="1"/>
  <c r="K13" i="8"/>
  <c r="J13" i="8"/>
  <c r="K12" i="8"/>
  <c r="J12" i="8"/>
  <c r="I13" i="8"/>
  <c r="I12" i="8"/>
  <c r="AN96" i="7"/>
  <c r="AN95" i="7"/>
  <c r="AN94" i="7"/>
  <c r="AN93" i="7"/>
  <c r="AN90" i="7"/>
  <c r="AN87" i="7"/>
  <c r="AN85" i="7"/>
  <c r="AN79" i="7"/>
  <c r="AN75" i="7"/>
  <c r="AN74" i="7"/>
  <c r="AN73" i="7"/>
  <c r="AN72" i="7"/>
  <c r="AN71" i="7"/>
  <c r="AN70" i="7"/>
  <c r="AN69" i="7"/>
  <c r="AN68" i="7"/>
  <c r="AN67" i="7"/>
  <c r="AN66" i="7"/>
  <c r="AN65" i="7"/>
  <c r="AN64" i="7"/>
  <c r="AN61" i="7"/>
  <c r="AN59" i="7"/>
  <c r="AN58" i="7"/>
  <c r="AN57" i="7"/>
  <c r="AN56" i="7"/>
  <c r="AN55" i="7"/>
  <c r="AN53" i="7"/>
  <c r="AN52" i="7"/>
  <c r="AN51" i="7"/>
  <c r="AN50" i="7"/>
  <c r="AN48" i="7"/>
  <c r="AN47" i="7"/>
  <c r="AN42" i="7"/>
  <c r="AN41" i="7"/>
  <c r="AN39" i="7"/>
  <c r="AN32" i="7"/>
  <c r="AN31" i="7"/>
  <c r="AN30" i="7"/>
  <c r="AN38" i="7"/>
  <c r="AN33" i="7"/>
  <c r="C37" i="1" l="1"/>
  <c r="C40" i="1"/>
  <c r="H13" i="8" l="1"/>
  <c r="G13" i="8"/>
  <c r="AL96" i="7" l="1"/>
  <c r="AP96" i="7" s="1"/>
  <c r="AL95" i="7"/>
  <c r="AP95" i="7" s="1"/>
  <c r="AL94" i="7"/>
  <c r="AP94" i="7" s="1"/>
  <c r="AL93" i="7"/>
  <c r="AP93" i="7" s="1"/>
  <c r="AL90" i="7"/>
  <c r="AP90" i="7" s="1"/>
  <c r="AL87" i="7"/>
  <c r="AP87" i="7" s="1"/>
  <c r="AL85" i="7"/>
  <c r="AP85" i="7" s="1"/>
  <c r="AL79" i="7"/>
  <c r="AP79" i="7" s="1"/>
  <c r="AL75" i="7"/>
  <c r="AP75" i="7" s="1"/>
  <c r="AL74" i="7"/>
  <c r="AP74" i="7" s="1"/>
  <c r="AL73" i="7"/>
  <c r="AP73" i="7" s="1"/>
  <c r="AL72" i="7"/>
  <c r="AP72" i="7" s="1"/>
  <c r="AL71" i="7"/>
  <c r="AP71" i="7" s="1"/>
  <c r="AL70" i="7"/>
  <c r="AP70" i="7" s="1"/>
  <c r="AL69" i="7"/>
  <c r="AP69" i="7" s="1"/>
  <c r="AL68" i="7"/>
  <c r="AP68" i="7" s="1"/>
  <c r="AL67" i="7"/>
  <c r="AP67" i="7" s="1"/>
  <c r="AL66" i="7"/>
  <c r="AP66" i="7" s="1"/>
  <c r="AL65" i="7"/>
  <c r="AP65" i="7" s="1"/>
  <c r="AL64" i="7"/>
  <c r="AP64" i="7" s="1"/>
  <c r="AL61" i="7"/>
  <c r="AP61" i="7" s="1"/>
  <c r="AL59" i="7"/>
  <c r="AP59" i="7" s="1"/>
  <c r="AL58" i="7"/>
  <c r="AP58" i="7" s="1"/>
  <c r="AL57" i="7"/>
  <c r="AP57" i="7" s="1"/>
  <c r="AL56" i="7"/>
  <c r="AP56" i="7" s="1"/>
  <c r="AL55" i="7"/>
  <c r="AP55" i="7" s="1"/>
  <c r="AL53" i="7"/>
  <c r="AP53" i="7" s="1"/>
  <c r="AL52" i="7"/>
  <c r="AP52" i="7" s="1"/>
  <c r="AL51" i="7"/>
  <c r="AP51" i="7" s="1"/>
  <c r="AL50" i="7"/>
  <c r="AP50" i="7" s="1"/>
  <c r="AL48" i="7"/>
  <c r="AP48" i="7" s="1"/>
  <c r="AL47" i="7"/>
  <c r="AP47" i="7" s="1"/>
  <c r="AL42" i="7"/>
  <c r="AP42" i="7" s="1"/>
  <c r="AL41" i="7"/>
  <c r="AP41" i="7" s="1"/>
  <c r="AL39" i="7"/>
  <c r="AP39" i="7" s="1"/>
  <c r="AL38" i="7"/>
  <c r="AP38" i="7" s="1"/>
  <c r="AL33" i="7"/>
  <c r="AP33" i="7" s="1"/>
  <c r="AL32" i="7"/>
  <c r="AP32" i="7" s="1"/>
  <c r="AL31" i="7"/>
  <c r="AP31" i="7" s="1"/>
  <c r="AL30" i="7"/>
  <c r="AP30" i="7" s="1"/>
  <c r="E13" i="8"/>
  <c r="C38" i="1" l="1"/>
  <c r="B25" i="5" l="1"/>
  <c r="AG30" i="1" l="1"/>
  <c r="D13" i="8" l="1"/>
  <c r="C13" i="8"/>
  <c r="D12" i="8"/>
  <c r="F13" i="8"/>
  <c r="F12" i="8"/>
  <c r="C12" i="8"/>
  <c r="N8" i="1" l="1"/>
  <c r="C39" i="1"/>
  <c r="M8" i="1" l="1"/>
  <c r="AN4" i="1" l="1"/>
  <c r="AK4" i="1"/>
  <c r="AM4" i="1"/>
  <c r="AG60" i="1" l="1"/>
  <c r="AG14" i="1"/>
  <c r="AG12" i="1"/>
  <c r="AG10" i="1"/>
  <c r="R54" i="1" l="1"/>
  <c r="R32" i="1" l="1"/>
  <c r="R34" i="1"/>
  <c r="R18" i="1"/>
  <c r="R33" i="1"/>
  <c r="R10" i="1"/>
  <c r="R52" i="1"/>
  <c r="R11" i="1"/>
  <c r="Q10" i="1" l="1"/>
  <c r="AG4" i="1"/>
  <c r="AG26" i="1"/>
  <c r="CK103" i="7" l="1"/>
  <c r="CH103" i="7"/>
  <c r="CF103" i="7"/>
  <c r="CD103" i="7"/>
  <c r="CB103" i="7"/>
  <c r="CA103" i="7"/>
  <c r="BY103" i="7"/>
  <c r="BX103" i="7"/>
  <c r="BV103" i="7"/>
  <c r="BU103" i="7"/>
  <c r="BT103" i="7"/>
  <c r="BS103" i="7"/>
  <c r="BQ103" i="7"/>
  <c r="BP103" i="7"/>
  <c r="BO103" i="7"/>
  <c r="BN103" i="7"/>
  <c r="BM103" i="7"/>
  <c r="BL103" i="7"/>
  <c r="BK103" i="7"/>
  <c r="AK96" i="7"/>
  <c r="AG40" i="1" s="1"/>
  <c r="AK95" i="7"/>
  <c r="AG38" i="1" s="1"/>
  <c r="AK94" i="7"/>
  <c r="AK93" i="7"/>
  <c r="AK90" i="7"/>
  <c r="AK87" i="7"/>
  <c r="AG77" i="1" s="1"/>
  <c r="AK85" i="7"/>
  <c r="AG70" i="1" s="1"/>
  <c r="AK79" i="7"/>
  <c r="AG62" i="1" s="1"/>
  <c r="AK75" i="7"/>
  <c r="AG76" i="1" s="1"/>
  <c r="AK74" i="7"/>
  <c r="AG48" i="1" s="1"/>
  <c r="AK73" i="7"/>
  <c r="AG43" i="1" s="1"/>
  <c r="AK72" i="7"/>
  <c r="AG71" i="1" s="1"/>
  <c r="AK71" i="7"/>
  <c r="AG41" i="1" s="1"/>
  <c r="AK70" i="7"/>
  <c r="AG56" i="1" s="1"/>
  <c r="AK69" i="7"/>
  <c r="AG53" i="1" s="1"/>
  <c r="AK68" i="7"/>
  <c r="AG50" i="1" s="1"/>
  <c r="AK67" i="7"/>
  <c r="AG63" i="1" s="1"/>
  <c r="AK66" i="7"/>
  <c r="AG45" i="1" s="1"/>
  <c r="AK65" i="7"/>
  <c r="AG66" i="1" s="1"/>
  <c r="AK64" i="7"/>
  <c r="AG59" i="1" s="1"/>
  <c r="AK61" i="7"/>
  <c r="AK59" i="7"/>
  <c r="AG28" i="1" s="1"/>
  <c r="AK58" i="7"/>
  <c r="AK57" i="7"/>
  <c r="AK56" i="7"/>
  <c r="AG75" i="1" s="1"/>
  <c r="AK55" i="7"/>
  <c r="AG57" i="1" s="1"/>
  <c r="AK53" i="7"/>
  <c r="AG54" i="1" s="1"/>
  <c r="AK52" i="7"/>
  <c r="AG51" i="1" s="1"/>
  <c r="AK51" i="7"/>
  <c r="AG64" i="1" s="1"/>
  <c r="BA50" i="7"/>
  <c r="AK50" i="7"/>
  <c r="AG46" i="1" s="1"/>
  <c r="AK48" i="7"/>
  <c r="AG73" i="1" s="1"/>
  <c r="BA47" i="7"/>
  <c r="AK47" i="7"/>
  <c r="AG67" i="1" s="1"/>
  <c r="AK42" i="7"/>
  <c r="AK41" i="7"/>
  <c r="AK39" i="7"/>
  <c r="AH38" i="7"/>
  <c r="AK38" i="7"/>
  <c r="AY36" i="7"/>
  <c r="AW36" i="7"/>
  <c r="AV36" i="7"/>
  <c r="AU36" i="7"/>
  <c r="AT36" i="7"/>
  <c r="AH33" i="7"/>
  <c r="AK33" i="7"/>
  <c r="AH32" i="7"/>
  <c r="AK32" i="7"/>
  <c r="AK31" i="7"/>
  <c r="AK30" i="7"/>
  <c r="L39" i="1" l="1"/>
  <c r="S32" i="1" l="1"/>
  <c r="S52" i="1" l="1"/>
  <c r="Y31" i="1" l="1"/>
  <c r="S33" i="1" l="1"/>
  <c r="Q32" i="1"/>
  <c r="V32" i="1"/>
  <c r="Q33" i="1"/>
  <c r="V33" i="1"/>
  <c r="Q34" i="1"/>
  <c r="S34" i="1"/>
  <c r="V34" i="1"/>
  <c r="S35" i="1"/>
  <c r="V35" i="1"/>
  <c r="S46" i="1" l="1"/>
  <c r="S58" i="1"/>
  <c r="Q54" i="1" l="1"/>
  <c r="S54" i="1"/>
  <c r="V54" i="1"/>
  <c r="Q52" i="1"/>
  <c r="V52" i="1"/>
  <c r="V30" i="1" l="1"/>
  <c r="S30" i="1"/>
  <c r="Y8" i="1" l="1"/>
  <c r="AA8" i="1" s="1"/>
  <c r="F7" i="1" l="1"/>
  <c r="F9" i="1"/>
  <c r="N37" i="1" l="1"/>
  <c r="AF34" i="1"/>
  <c r="AG34" i="1"/>
  <c r="AF36" i="1"/>
  <c r="AG36" i="1"/>
  <c r="Q38" i="1"/>
  <c r="N39" i="1"/>
  <c r="S43" i="1"/>
  <c r="J39" i="1"/>
  <c r="J37" i="1"/>
  <c r="S44" i="1"/>
  <c r="K37" i="1"/>
  <c r="K39" i="1"/>
  <c r="Y35" i="1" l="1"/>
  <c r="R35" i="1" s="1"/>
  <c r="Q35" i="1" l="1"/>
  <c r="AF22" i="1" l="1"/>
  <c r="Q11" i="1"/>
  <c r="AG22" i="1"/>
  <c r="AG21" i="1"/>
  <c r="AF21" i="1"/>
  <c r="Y44" i="1" l="1"/>
  <c r="Y51" i="1"/>
  <c r="Y50" i="1"/>
  <c r="Y16" i="1"/>
  <c r="Y14" i="1"/>
  <c r="Y62" i="1" l="1"/>
  <c r="R62" i="1" s="1"/>
  <c r="Z32" i="1"/>
  <c r="Z31" i="1"/>
  <c r="U27" i="1"/>
  <c r="Y30" i="1"/>
  <c r="R30" i="1" s="1"/>
  <c r="AA51" i="1"/>
  <c r="Z50" i="1"/>
  <c r="Z52" i="1"/>
  <c r="T52" i="1" s="1"/>
  <c r="Y45" i="1"/>
  <c r="Z20" i="1"/>
  <c r="Z35" i="1"/>
  <c r="AA35" i="1"/>
  <c r="U35" i="1" s="1"/>
  <c r="AA44" i="1"/>
  <c r="Y22" i="1"/>
  <c r="Z22" i="1" s="1"/>
  <c r="AG24" i="1"/>
  <c r="AA50" i="1"/>
  <c r="Y46" i="1"/>
  <c r="R46" i="1" s="1"/>
  <c r="Y47" i="1"/>
  <c r="Y49" i="1"/>
  <c r="Y43" i="1"/>
  <c r="R43" i="1" s="1"/>
  <c r="AA52" i="1"/>
  <c r="U52" i="1" s="1"/>
  <c r="Y48" i="1"/>
  <c r="AF19" i="1"/>
  <c r="Z14" i="1" s="1"/>
  <c r="L14" i="1" s="1"/>
  <c r="AG19" i="1"/>
  <c r="AA14" i="1" s="1"/>
  <c r="M14" i="1" s="1"/>
  <c r="AF17" i="1"/>
  <c r="AG17" i="1"/>
  <c r="Q45" i="1" l="1"/>
  <c r="R45" i="1"/>
  <c r="AA43" i="1"/>
  <c r="AA49" i="1"/>
  <c r="Z30" i="1"/>
  <c r="AA22" i="1"/>
  <c r="M22" i="1" s="1"/>
  <c r="AA53" i="1"/>
  <c r="Z53" i="1"/>
  <c r="Z51" i="1"/>
  <c r="Q44" i="1"/>
  <c r="R44" i="1"/>
  <c r="AF14" i="1"/>
  <c r="V46" i="1"/>
  <c r="Z11" i="1" l="1"/>
  <c r="Z10" i="1"/>
  <c r="AA11" i="1"/>
  <c r="AA10" i="1"/>
  <c r="V58" i="1"/>
  <c r="Y60" i="1"/>
  <c r="Y59" i="1"/>
  <c r="Y58" i="1"/>
  <c r="R58" i="1" s="1"/>
  <c r="Y57" i="1"/>
  <c r="Z57" i="1" s="1"/>
  <c r="Z45" i="1"/>
  <c r="Z62" i="1" l="1"/>
  <c r="AA58" i="1"/>
  <c r="U58" i="1" s="1"/>
  <c r="Z48" i="1"/>
  <c r="Z58" i="1"/>
  <c r="T58" i="1" s="1"/>
  <c r="AA57" i="1"/>
  <c r="Z47" i="1"/>
  <c r="AA47" i="1"/>
  <c r="AA59" i="1"/>
  <c r="AA60" i="1"/>
  <c r="Z60" i="1"/>
  <c r="Z59" i="1"/>
  <c r="AA54" i="1"/>
  <c r="U54" i="1" s="1"/>
  <c r="Z54" i="1"/>
  <c r="T54" i="1" s="1"/>
  <c r="AA55" i="1"/>
  <c r="Z55" i="1"/>
  <c r="Z49" i="1"/>
  <c r="AA45" i="1"/>
  <c r="AA48" i="1"/>
  <c r="Z46" i="1"/>
  <c r="T46" i="1" s="1"/>
  <c r="AA46" i="1"/>
  <c r="U46" i="1" s="1"/>
  <c r="AA62" i="1"/>
  <c r="Y42" i="1"/>
  <c r="Y39" i="1"/>
  <c r="Y37" i="1"/>
  <c r="AA33" i="1"/>
  <c r="U33" i="1" s="1"/>
  <c r="AA32" i="1"/>
  <c r="U32" i="1" s="1"/>
  <c r="AA31" i="1"/>
  <c r="Y29" i="1"/>
  <c r="R29" i="1" s="1"/>
  <c r="Y26" i="1"/>
  <c r="AA26" i="1" s="1"/>
  <c r="Y25" i="1"/>
  <c r="AA25" i="1" s="1"/>
  <c r="Y24" i="1"/>
  <c r="AA24" i="1" s="1"/>
  <c r="Y17" i="1"/>
  <c r="AA17" i="1" s="1"/>
  <c r="AA30" i="1" l="1"/>
  <c r="U30" i="1" s="1"/>
  <c r="Z43" i="1"/>
  <c r="AA29" i="1"/>
  <c r="Z29" i="1"/>
  <c r="Z25" i="1"/>
  <c r="Z44" i="1"/>
  <c r="AA34" i="1"/>
  <c r="U34" i="1" s="1"/>
  <c r="Z34" i="1"/>
  <c r="Z33" i="1"/>
  <c r="Z39" i="1"/>
  <c r="AA39" i="1"/>
  <c r="M39" i="1" s="1"/>
  <c r="AA37" i="1"/>
  <c r="M37" i="1" s="1"/>
  <c r="Z37" i="1"/>
  <c r="Z42" i="1"/>
  <c r="AA42" i="1"/>
  <c r="Z16" i="1"/>
  <c r="L17" i="1" s="1"/>
  <c r="AA16" i="1"/>
  <c r="Z17" i="1"/>
  <c r="Z26" i="1"/>
  <c r="Z24" i="1"/>
  <c r="AG80" i="1"/>
  <c r="S29" i="1"/>
  <c r="V29" i="1"/>
  <c r="T30" i="1" l="1"/>
  <c r="T32" i="1"/>
  <c r="T34" i="1"/>
  <c r="T35" i="1"/>
  <c r="T33" i="1"/>
  <c r="M24" i="1"/>
  <c r="U18" i="1"/>
  <c r="M17" i="1" l="1"/>
  <c r="N25" i="5"/>
  <c r="L25" i="5"/>
  <c r="K25" i="5"/>
  <c r="I25" i="5"/>
  <c r="G25" i="5"/>
  <c r="F25" i="5"/>
  <c r="D25" i="5"/>
  <c r="N24" i="5"/>
  <c r="L24" i="5"/>
  <c r="K24" i="5"/>
  <c r="I24" i="5"/>
  <c r="G24" i="5"/>
  <c r="F24" i="5"/>
  <c r="D24" i="5"/>
  <c r="B24" i="5"/>
  <c r="N23" i="5"/>
  <c r="L23" i="5"/>
  <c r="K23" i="5"/>
  <c r="I23" i="5"/>
  <c r="G23" i="5"/>
  <c r="F23" i="5"/>
  <c r="D23" i="5"/>
  <c r="B23" i="5"/>
  <c r="L57" i="1" l="1"/>
  <c r="T44" i="1"/>
  <c r="T45" i="1"/>
  <c r="K14" i="1"/>
  <c r="U29" i="1" l="1"/>
  <c r="V44" i="1"/>
  <c r="U44" i="1"/>
  <c r="Q62" i="1"/>
  <c r="U62" i="1"/>
  <c r="V45" i="1"/>
  <c r="T29" i="1"/>
  <c r="K20" i="1"/>
  <c r="V62" i="1"/>
  <c r="M57" i="1"/>
  <c r="S45" i="1"/>
  <c r="Y5" i="1"/>
  <c r="AA5" i="1" s="1"/>
  <c r="M5" i="1" l="1"/>
  <c r="N5" i="1"/>
  <c r="Z5" i="1"/>
  <c r="M42" i="1"/>
  <c r="U45" i="1"/>
  <c r="L24" i="1"/>
  <c r="AA20" i="1" l="1"/>
  <c r="M20" i="1" s="1"/>
  <c r="L2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Li, Yifan</author>
    <author>Nanjundappa, Harshitha</author>
  </authors>
  <commentList>
    <comment ref="C5" authorId="0" shapeId="0" xr:uid="{00000000-0006-0000-0100-000001000000}">
      <text>
        <r>
          <rPr>
            <b/>
            <sz val="10"/>
            <color indexed="81"/>
            <rFont val="Tahoma"/>
            <family val="2"/>
          </rPr>
          <t>Choose the desired SKU</t>
        </r>
      </text>
    </comment>
    <comment ref="C6" authorId="0" shapeId="0" xr:uid="{00000000-0006-0000-0100-000002000000}">
      <text>
        <r>
          <rPr>
            <b/>
            <sz val="10"/>
            <color indexed="81"/>
            <rFont val="Tahoma"/>
            <family val="2"/>
          </rPr>
          <t xml:space="preserve">Choose desired SoC power levels (PLs).
</t>
        </r>
        <r>
          <rPr>
            <sz val="10"/>
            <color indexed="81"/>
            <rFont val="Tahoma"/>
            <family val="2"/>
          </rPr>
          <t xml:space="preserve">
"Performance" (formerly "extreme" ): best performance on concurrent multi-domain (IA+GT) workloads
"Default" (formerly "Default"): balanced performance optimized for cost of power delivery solution
Note: Actual PLs can be set to other intermediate values.</t>
        </r>
      </text>
    </comment>
    <comment ref="C7" authorId="0" shapeId="0" xr:uid="{00000000-0006-0000-0100-000003000000}">
      <text>
        <r>
          <rPr>
            <b/>
            <sz val="10"/>
            <color indexed="81"/>
            <rFont val="Tahoma"/>
            <family val="2"/>
          </rPr>
          <t xml:space="preserve">Choose S4/S5 Type.
</t>
        </r>
        <r>
          <rPr>
            <sz val="10"/>
            <color indexed="81"/>
            <rFont val="Tahoma"/>
            <family val="2"/>
          </rPr>
          <t xml:space="preserve">
"Deep Sleep Enabled": Deep S4/S5 support where only the DSW VR(s) are on.  A SLP_SUS# version of the 3.3V rail will need to be generated.
"Non-Deep Sleep Enabled": Standard S4/S5 support where the "A" rails are on in S4/S5.</t>
        </r>
      </text>
    </comment>
    <comment ref="C8" authorId="0" shapeId="0" xr:uid="{00000000-0006-0000-0100-000004000000}">
      <text>
        <r>
          <rPr>
            <b/>
            <sz val="10"/>
            <color indexed="81"/>
            <rFont val="Tahoma"/>
            <family val="2"/>
          </rPr>
          <t xml:space="preserve">Choose a memory type and capacity or a combination of types.  </t>
        </r>
        <r>
          <rPr>
            <sz val="10"/>
            <color indexed="81"/>
            <rFont val="Tahoma"/>
            <family val="2"/>
          </rPr>
          <t xml:space="preserve">
NOTE1: Not all memory types listed are supported on each SKU.
NOTE2: DRAM currents provided are examples and should be verified with your DRAM supplier.</t>
        </r>
      </text>
    </comment>
    <comment ref="L8" authorId="1" shapeId="0" xr:uid="{00000000-0006-0000-0100-000005000000}">
      <text>
        <r>
          <rPr>
            <sz val="9"/>
            <color indexed="81"/>
            <rFont val="Tahoma"/>
            <family val="2"/>
          </rPr>
          <t xml:space="preserve">
2-bit VID (voltage ID): 0V,1.1V,1.65V,1.8V
</t>
        </r>
      </text>
    </comment>
    <comment ref="C9" authorId="0" shapeId="0" xr:uid="{00000000-0006-0000-0100-000006000000}">
      <text>
        <r>
          <rPr>
            <b/>
            <sz val="10"/>
            <color indexed="81"/>
            <rFont val="Tahoma"/>
            <family val="2"/>
          </rPr>
          <t xml:space="preserve">Choose the power delivery tier.
</t>
        </r>
        <r>
          <rPr>
            <sz val="10"/>
            <color indexed="81"/>
            <rFont val="Tahoma"/>
            <family val="2"/>
          </rPr>
          <t xml:space="preserve">
"Premium": Lowest modern standby/S0ix power by adding VRs and load switches. 
"Volume": Cost-optimized design with higher S0ix power due to merging similar rails and removing load switches.
</t>
        </r>
        <r>
          <rPr>
            <b/>
            <sz val="10"/>
            <color indexed="81"/>
            <rFont val="Tahoma"/>
            <family val="2"/>
          </rPr>
          <t>Note:</t>
        </r>
        <r>
          <rPr>
            <sz val="10"/>
            <color indexed="81"/>
            <rFont val="Tahoma"/>
            <family val="2"/>
          </rPr>
          <t xml:space="preserve"> The designer may choose to implement a 
hybrid between Volume and Premium as long as guidelines are followed.  See "Trade-offs - Volume vs. Premium Power Maps" section in the PDG.</t>
        </r>
      </text>
    </comment>
    <comment ref="C37" authorId="2" shapeId="0" xr:uid="{00000000-0006-0000-0100-000007000000}">
      <text>
        <r>
          <rPr>
            <b/>
            <sz val="9"/>
            <color indexed="81"/>
            <rFont val="Tahoma"/>
            <family val="2"/>
          </rPr>
          <t>See the "Turbo Implementataion Guide" for detailed information on PL definitions</t>
        </r>
        <r>
          <rPr>
            <sz val="9"/>
            <color indexed="81"/>
            <rFont val="Tahoma"/>
            <family val="2"/>
          </rPr>
          <t xml:space="preserve"> 
</t>
        </r>
        <r>
          <rPr>
            <b/>
            <sz val="9"/>
            <color indexed="81"/>
            <rFont val="Tahoma"/>
            <family val="2"/>
          </rPr>
          <t>PL1</t>
        </r>
        <r>
          <rPr>
            <sz val="9"/>
            <color indexed="81"/>
            <rFont val="Tahoma"/>
            <family val="2"/>
          </rPr>
          <t xml:space="preserve">:
CPU Average power limit (can be sustained infinitely)
</t>
        </r>
      </text>
    </comment>
    <comment ref="C38" authorId="2" shapeId="0" xr:uid="{00000000-0006-0000-0100-000008000000}">
      <text>
        <r>
          <rPr>
            <b/>
            <sz val="9"/>
            <color indexed="81"/>
            <rFont val="Tahoma"/>
            <family val="2"/>
          </rPr>
          <t xml:space="preserve">PL2:
</t>
        </r>
        <r>
          <rPr>
            <sz val="9"/>
            <color indexed="81"/>
            <rFont val="Tahoma"/>
            <family val="2"/>
          </rPr>
          <t>CPU High Power Limit
(Sustained for `10's of seconds)</t>
        </r>
      </text>
    </comment>
    <comment ref="C39" authorId="2" shapeId="0" xr:uid="{00000000-0006-0000-0100-000009000000}">
      <text>
        <r>
          <rPr>
            <b/>
            <sz val="9"/>
            <color indexed="81"/>
            <rFont val="Tahoma"/>
            <family val="2"/>
          </rPr>
          <t xml:space="preserve">PL3:
</t>
        </r>
        <r>
          <rPr>
            <sz val="9"/>
            <color indexed="81"/>
            <rFont val="Tahoma"/>
            <family val="2"/>
          </rPr>
          <t>CPU Peak Power occurances Limit 
(duty cycle allowed above PWR threshold)</t>
        </r>
      </text>
    </comment>
    <comment ref="C40" authorId="2" shapeId="0" xr:uid="{00000000-0006-0000-0100-00000A000000}">
      <text>
        <r>
          <rPr>
            <b/>
            <sz val="9"/>
            <color indexed="81"/>
            <rFont val="Tahoma"/>
            <family val="2"/>
          </rPr>
          <t xml:space="preserve">PL4:
</t>
        </r>
        <r>
          <rPr>
            <sz val="9"/>
            <color indexed="81"/>
            <rFont val="Tahoma"/>
            <family val="2"/>
          </rPr>
          <t>A preemptive 2 CPU Package Power Limit 
(It won't be exceeded, sustain &lt;10ms)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Resch, Josh</author>
    <author>Li, Yifan</author>
    <author>Author</author>
  </authors>
  <commentList>
    <comment ref="AG2" authorId="0" shapeId="0" xr:uid="{00000000-0006-0000-0200-000001000000}">
      <text>
        <r>
          <rPr>
            <b/>
            <sz val="9"/>
            <color indexed="81"/>
            <rFont val="Tahoma"/>
            <family val="2"/>
          </rPr>
          <t>Resch, Josh:</t>
        </r>
        <r>
          <rPr>
            <sz val="9"/>
            <color indexed="81"/>
            <rFont val="Tahoma"/>
            <family val="2"/>
          </rPr>
          <t xml:space="preserve">
This item is most likely required, appears to be POR, the bus interface (USB, PCIE) decision is relatively stable, and the power number is based on a datasheet, measurement, or modeling.</t>
        </r>
      </text>
    </comment>
    <comment ref="AH2" authorId="0" shapeId="0" xr:uid="{00000000-0006-0000-0200-000002000000}">
      <text>
        <r>
          <rPr>
            <b/>
            <sz val="9"/>
            <color indexed="81"/>
            <rFont val="Tahoma"/>
            <family val="2"/>
          </rPr>
          <t>Resch, Josh:</t>
        </r>
        <r>
          <rPr>
            <sz val="9"/>
            <color indexed="81"/>
            <rFont val="Tahoma"/>
            <family val="2"/>
          </rPr>
          <t xml:space="preserve">
One of the following issues may exist:
- Very Prelim Numbers
- Feature may not be needed or is not POR</t>
        </r>
      </text>
    </comment>
    <comment ref="AI2" authorId="0" shapeId="0" xr:uid="{99001A5F-31A0-4F22-A685-6991BD0FC4B2}">
      <text>
        <r>
          <rPr>
            <b/>
            <sz val="9"/>
            <color indexed="81"/>
            <rFont val="Tahoma"/>
            <family val="2"/>
          </rPr>
          <t>Resch, Josh:</t>
        </r>
        <r>
          <rPr>
            <sz val="9"/>
            <color indexed="81"/>
            <rFont val="Tahoma"/>
            <family val="2"/>
          </rPr>
          <t xml:space="preserve">
This item is most likely required, appears to be POR, the bus interface (USB, PCIE) decision is relatively stable, and the power number is based on a datasheet, measurement, or modeling.</t>
        </r>
      </text>
    </comment>
    <comment ref="AJ2" authorId="0" shapeId="0" xr:uid="{F7916AD8-F56F-4740-A935-7AAD4BFEAF29}">
      <text>
        <r>
          <rPr>
            <b/>
            <sz val="9"/>
            <color indexed="81"/>
            <rFont val="Tahoma"/>
            <family val="2"/>
          </rPr>
          <t>Resch, Josh:</t>
        </r>
        <r>
          <rPr>
            <sz val="9"/>
            <color indexed="81"/>
            <rFont val="Tahoma"/>
            <family val="2"/>
          </rPr>
          <t xml:space="preserve">
One of the following issues may exist:
- Very Prelim Numbers
- Feature may not be needed or is not POR</t>
        </r>
      </text>
    </comment>
    <comment ref="AK2" authorId="0" shapeId="0" xr:uid="{00000000-0006-0000-0200-000003000000}">
      <text>
        <r>
          <rPr>
            <b/>
            <sz val="9"/>
            <color indexed="81"/>
            <rFont val="Tahoma"/>
            <family val="2"/>
          </rPr>
          <t>Resch, Josh:</t>
        </r>
        <r>
          <rPr>
            <sz val="9"/>
            <color indexed="81"/>
            <rFont val="Tahoma"/>
            <family val="2"/>
          </rPr>
          <t xml:space="preserve">
Number is estimated without modeling OR has another issue</t>
        </r>
      </text>
    </comment>
    <comment ref="AL2" authorId="0" shapeId="0" xr:uid="{F1D8DD53-983A-437D-98A1-5EEB336FAE89}">
      <text>
        <r>
          <rPr>
            <b/>
            <sz val="9"/>
            <color indexed="81"/>
            <rFont val="Tahoma"/>
            <family val="2"/>
          </rPr>
          <t>Resch, Josh:</t>
        </r>
        <r>
          <rPr>
            <sz val="9"/>
            <color indexed="81"/>
            <rFont val="Tahoma"/>
            <family val="2"/>
          </rPr>
          <t xml:space="preserve">
Number is estimated without modeling OR has another issue</t>
        </r>
      </text>
    </comment>
    <comment ref="AN2" authorId="0" shapeId="0" xr:uid="{00000000-0006-0000-0200-000005000000}">
      <text>
        <r>
          <rPr>
            <b/>
            <sz val="9"/>
            <color indexed="81"/>
            <rFont val="Tahoma"/>
            <family val="2"/>
          </rPr>
          <t>Resch, Josh:</t>
        </r>
        <r>
          <rPr>
            <sz val="9"/>
            <color indexed="81"/>
            <rFont val="Tahoma"/>
            <family val="2"/>
          </rPr>
          <t xml:space="preserve">
This number puts one of the planned VRs (i.e. SKL PMIC) past its capability OR the planned gating FET is dropping the voltage too much due to the current</t>
        </r>
      </text>
    </comment>
    <comment ref="AO2" authorId="0" shapeId="0" xr:uid="{F340E4BB-DBB9-428D-9396-A501AF27E586}">
      <text>
        <r>
          <rPr>
            <b/>
            <sz val="9"/>
            <color indexed="81"/>
            <rFont val="Tahoma"/>
            <family val="2"/>
          </rPr>
          <t>Resch, Josh:</t>
        </r>
        <r>
          <rPr>
            <sz val="9"/>
            <color indexed="81"/>
            <rFont val="Tahoma"/>
            <family val="2"/>
          </rPr>
          <t xml:space="preserve">
SKL numbers being used as a placeholder until newer data is available.</t>
        </r>
      </text>
    </comment>
    <comment ref="AR2" authorId="0" shapeId="0" xr:uid="{00000000-0006-0000-0200-000006000000}">
      <text>
        <r>
          <rPr>
            <b/>
            <sz val="9"/>
            <color indexed="81"/>
            <rFont val="Tahoma"/>
            <family val="2"/>
          </rPr>
          <t>Resch, Josh:</t>
        </r>
        <r>
          <rPr>
            <sz val="9"/>
            <color indexed="81"/>
            <rFont val="Tahoma"/>
            <family val="2"/>
          </rPr>
          <t xml:space="preserve">
Imax shown with 50ms samples; need to update with 1us samples when available.</t>
        </r>
      </text>
    </comment>
    <comment ref="R5" authorId="0" shapeId="0" xr:uid="{00000000-0006-0000-0200-000007000000}">
      <text>
        <r>
          <rPr>
            <b/>
            <sz val="9"/>
            <color indexed="81"/>
            <rFont val="Tahoma"/>
            <family val="2"/>
          </rPr>
          <t>Resch, Josh:</t>
        </r>
        <r>
          <rPr>
            <sz val="9"/>
            <color indexed="81"/>
            <rFont val="Tahoma"/>
            <family val="2"/>
          </rPr>
          <t xml:space="preserve">
This column shows variables that could influence Iccmax</t>
        </r>
      </text>
    </comment>
    <comment ref="AH7" authorId="0" shapeId="0" xr:uid="{00000000-0006-0000-0200-000009000000}">
      <text>
        <r>
          <rPr>
            <b/>
            <sz val="9"/>
            <color indexed="81"/>
            <rFont val="Tahoma"/>
            <family val="2"/>
          </rPr>
          <t>Resch, Josh:</t>
        </r>
        <r>
          <rPr>
            <sz val="9"/>
            <color indexed="81"/>
            <rFont val="Tahoma"/>
            <family val="2"/>
          </rPr>
          <t xml:space="preserve">
50A IA, 15.5A Ring for 15W TDP</t>
        </r>
      </text>
    </comment>
    <comment ref="AI7" authorId="0" shapeId="0" xr:uid="{00000000-0006-0000-0200-00000A000000}">
      <text>
        <r>
          <rPr>
            <b/>
            <sz val="9"/>
            <color indexed="81"/>
            <rFont val="Tahoma"/>
            <family val="2"/>
          </rPr>
          <t>Resch, Josh:</t>
        </r>
        <r>
          <rPr>
            <sz val="9"/>
            <color indexed="81"/>
            <rFont val="Tahoma"/>
            <family val="2"/>
          </rPr>
          <t xml:space="preserve">
As of WW08'16 Pre-Si Spec Forum:
SoC PL1 [W] 15
SoC PL2 Default [W] 26
SoC PL2 Extreme [W] 30
SoC PL4 Default [W] 51
SoC PL4 Extreme [W] 57</t>
        </r>
      </text>
    </comment>
    <comment ref="AJ7" authorId="0" shapeId="0" xr:uid="{0B02499B-0AB1-458D-97D5-6E15E51F1E64}">
      <text>
        <r>
          <rPr>
            <b/>
            <sz val="9"/>
            <color indexed="81"/>
            <rFont val="Tahoma"/>
            <family val="2"/>
          </rPr>
          <t>Resch, Josh:</t>
        </r>
        <r>
          <rPr>
            <sz val="9"/>
            <color indexed="81"/>
            <rFont val="Tahoma"/>
            <family val="2"/>
          </rPr>
          <t xml:space="preserve">
50A IA, 15.5A Ring for 15W TDP</t>
        </r>
      </text>
    </comment>
    <comment ref="AM7" authorId="0" shapeId="0" xr:uid="{39D152F4-2D09-4498-8976-737042C3B7A5}">
      <text>
        <r>
          <rPr>
            <b/>
            <sz val="9"/>
            <color indexed="81"/>
            <rFont val="Tahoma"/>
            <family val="2"/>
          </rPr>
          <t>Resch, Josh:</t>
        </r>
        <r>
          <rPr>
            <sz val="9"/>
            <color indexed="81"/>
            <rFont val="Tahoma"/>
            <family val="2"/>
          </rPr>
          <t xml:space="preserve">
50A IA, 15.5A Ring for 15W TDP</t>
        </r>
      </text>
    </comment>
    <comment ref="AO7" authorId="0" shapeId="0" xr:uid="{4972A182-17ED-426C-AFC6-7B3FA7920B86}">
      <text>
        <r>
          <rPr>
            <b/>
            <sz val="9"/>
            <color indexed="81"/>
            <rFont val="Tahoma"/>
            <family val="2"/>
          </rPr>
          <t>Resch, Josh:</t>
        </r>
        <r>
          <rPr>
            <sz val="9"/>
            <color indexed="81"/>
            <rFont val="Tahoma"/>
            <family val="2"/>
          </rPr>
          <t xml:space="preserve">
50A IA, 15.5A Ring for 15W TDP</t>
        </r>
      </text>
    </comment>
    <comment ref="AV7" authorId="0" shapeId="0" xr:uid="{00000000-0006-0000-0200-00000B000000}">
      <text>
        <r>
          <rPr>
            <b/>
            <sz val="9"/>
            <color indexed="81"/>
            <rFont val="Tahoma"/>
            <family val="2"/>
          </rPr>
          <t>Resch, Josh:</t>
        </r>
        <r>
          <rPr>
            <sz val="9"/>
            <color indexed="81"/>
            <rFont val="Tahoma"/>
            <family val="2"/>
          </rPr>
          <t xml:space="preserve">
88.59A IA, 21.97A Ring</t>
        </r>
      </text>
    </comment>
    <comment ref="AW7" authorId="0" shapeId="0" xr:uid="{00000000-0006-0000-0200-00000C000000}">
      <text>
        <r>
          <rPr>
            <b/>
            <sz val="9"/>
            <color indexed="81"/>
            <rFont val="Tahoma"/>
            <family val="2"/>
          </rPr>
          <t>Resch, Josh:</t>
        </r>
        <r>
          <rPr>
            <sz val="9"/>
            <color indexed="81"/>
            <rFont val="Tahoma"/>
            <family val="2"/>
          </rPr>
          <t xml:space="preserve">
108.87 IA, 27.21A Ring</t>
        </r>
      </text>
    </comment>
    <comment ref="AY7" authorId="0" shapeId="0" xr:uid="{00000000-0006-0000-0200-00000D000000}">
      <text>
        <r>
          <rPr>
            <b/>
            <sz val="9"/>
            <color indexed="81"/>
            <rFont val="Tahoma"/>
            <family val="2"/>
          </rPr>
          <t>Resch, Josh:</t>
        </r>
        <r>
          <rPr>
            <sz val="9"/>
            <color indexed="81"/>
            <rFont val="Tahoma"/>
            <family val="2"/>
          </rPr>
          <t xml:space="preserve">
120.14 IA, 29.85A Ring</t>
        </r>
      </text>
    </comment>
    <comment ref="AV8" authorId="0" shapeId="0" xr:uid="{00000000-0006-0000-0200-000010000000}">
      <text>
        <r>
          <rPr>
            <b/>
            <sz val="9"/>
            <color indexed="81"/>
            <rFont val="Tahoma"/>
            <family val="2"/>
          </rPr>
          <t>Resch, Josh:</t>
        </r>
        <r>
          <rPr>
            <sz val="9"/>
            <color indexed="81"/>
            <rFont val="Tahoma"/>
            <family val="2"/>
          </rPr>
          <t xml:space="preserve">
66.52A GT+GTS</t>
        </r>
      </text>
    </comment>
    <comment ref="AW8" authorId="0" shapeId="0" xr:uid="{00000000-0006-0000-0200-000011000000}">
      <text>
        <r>
          <rPr>
            <b/>
            <sz val="9"/>
            <color indexed="81"/>
            <rFont val="Tahoma"/>
            <family val="2"/>
          </rPr>
          <t>Resch, Josh:</t>
        </r>
        <r>
          <rPr>
            <sz val="9"/>
            <color indexed="81"/>
            <rFont val="Tahoma"/>
            <family val="2"/>
          </rPr>
          <t xml:space="preserve">
74.98A GT+GTS</t>
        </r>
      </text>
    </comment>
    <comment ref="AY8" authorId="0" shapeId="0" xr:uid="{00000000-0006-0000-0200-000012000000}">
      <text>
        <r>
          <rPr>
            <b/>
            <sz val="9"/>
            <color indexed="81"/>
            <rFont val="Tahoma"/>
            <family val="2"/>
          </rPr>
          <t>Resch, Josh:</t>
        </r>
        <r>
          <rPr>
            <sz val="9"/>
            <color indexed="81"/>
            <rFont val="Tahoma"/>
            <family val="2"/>
          </rPr>
          <t xml:space="preserve">
72.22A GT+GTS</t>
        </r>
      </text>
    </comment>
    <comment ref="CJ10" authorId="0" shapeId="0" xr:uid="{00000000-0006-0000-0200-000013000000}">
      <text>
        <r>
          <rPr>
            <b/>
            <sz val="9"/>
            <color indexed="81"/>
            <rFont val="Tahoma"/>
            <family val="2"/>
          </rPr>
          <t>Resch, Josh:</t>
        </r>
        <r>
          <rPr>
            <sz val="9"/>
            <color indexed="81"/>
            <rFont val="Tahoma"/>
            <family val="2"/>
          </rPr>
          <t xml:space="preserve">
Confirming if FIVR covers VccEDRAM &amp; VccEOPIO</t>
        </r>
      </text>
    </comment>
    <comment ref="AH15" authorId="0" shapeId="0" xr:uid="{00000000-0006-0000-0200-000016000000}">
      <text>
        <r>
          <rPr>
            <b/>
            <sz val="9"/>
            <color indexed="81"/>
            <rFont val="Tahoma"/>
            <family val="2"/>
          </rPr>
          <t>Resch, Josh:</t>
        </r>
        <r>
          <rPr>
            <sz val="9"/>
            <color indexed="81"/>
            <rFont val="Tahoma"/>
            <family val="2"/>
          </rPr>
          <t xml:space="preserve">
50A IA, 15.5A Ring for 15W TDP</t>
        </r>
      </text>
    </comment>
    <comment ref="AI15" authorId="0" shapeId="0" xr:uid="{00000000-0006-0000-0200-000017000000}">
      <text>
        <r>
          <rPr>
            <b/>
            <sz val="9"/>
            <color indexed="81"/>
            <rFont val="Tahoma"/>
            <family val="2"/>
          </rPr>
          <t>Resch, Josh:</t>
        </r>
        <r>
          <rPr>
            <sz val="9"/>
            <color indexed="81"/>
            <rFont val="Tahoma"/>
            <family val="2"/>
          </rPr>
          <t xml:space="preserve">
As of WW08'16 Pre-Si Spec Forum:
SoC PL1 [W] 15
SoC PL2 Default [W] 26
SoC PL2 Extreme [W] 30
SoC PL4 Default [W] 51
SoC PL4 Extreme [W] 57</t>
        </r>
      </text>
    </comment>
    <comment ref="AJ15" authorId="0" shapeId="0" xr:uid="{9026B7B4-D055-40FF-8427-5142A278C180}">
      <text>
        <r>
          <rPr>
            <b/>
            <sz val="9"/>
            <color indexed="81"/>
            <rFont val="Tahoma"/>
            <family val="2"/>
          </rPr>
          <t>Resch, Josh:</t>
        </r>
        <r>
          <rPr>
            <sz val="9"/>
            <color indexed="81"/>
            <rFont val="Tahoma"/>
            <family val="2"/>
          </rPr>
          <t xml:space="preserve">
50A IA, 15.5A Ring for 15W TDP</t>
        </r>
      </text>
    </comment>
    <comment ref="AM15" authorId="0" shapeId="0" xr:uid="{1FA2DD29-FC14-4639-BABA-2073E5E20866}">
      <text>
        <r>
          <rPr>
            <b/>
            <sz val="9"/>
            <color indexed="81"/>
            <rFont val="Tahoma"/>
            <family val="2"/>
          </rPr>
          <t>Resch, Josh:</t>
        </r>
        <r>
          <rPr>
            <sz val="9"/>
            <color indexed="81"/>
            <rFont val="Tahoma"/>
            <family val="2"/>
          </rPr>
          <t xml:space="preserve">
50A IA, 15.5A Ring for 15W TDP</t>
        </r>
      </text>
    </comment>
    <comment ref="AO15" authorId="0" shapeId="0" xr:uid="{A4721BB6-0CCF-44C0-8DFC-961C3E26C677}">
      <text>
        <r>
          <rPr>
            <b/>
            <sz val="9"/>
            <color indexed="81"/>
            <rFont val="Tahoma"/>
            <family val="2"/>
          </rPr>
          <t>Resch, Josh:</t>
        </r>
        <r>
          <rPr>
            <sz val="9"/>
            <color indexed="81"/>
            <rFont val="Tahoma"/>
            <family val="2"/>
          </rPr>
          <t xml:space="preserve">
50A IA, 15.5A Ring for 15W TDP</t>
        </r>
      </text>
    </comment>
    <comment ref="AV15" authorId="0" shapeId="0" xr:uid="{00000000-0006-0000-0200-000018000000}">
      <text>
        <r>
          <rPr>
            <b/>
            <sz val="9"/>
            <color indexed="81"/>
            <rFont val="Tahoma"/>
            <family val="2"/>
          </rPr>
          <t>Resch, Josh:</t>
        </r>
        <r>
          <rPr>
            <sz val="9"/>
            <color indexed="81"/>
            <rFont val="Tahoma"/>
            <family val="2"/>
          </rPr>
          <t xml:space="preserve">
88.59A IA, 21.97A Ring</t>
        </r>
      </text>
    </comment>
    <comment ref="AW15" authorId="0" shapeId="0" xr:uid="{00000000-0006-0000-0200-000019000000}">
      <text>
        <r>
          <rPr>
            <b/>
            <sz val="9"/>
            <color indexed="81"/>
            <rFont val="Tahoma"/>
            <family val="2"/>
          </rPr>
          <t>Resch, Josh:</t>
        </r>
        <r>
          <rPr>
            <sz val="9"/>
            <color indexed="81"/>
            <rFont val="Tahoma"/>
            <family val="2"/>
          </rPr>
          <t xml:space="preserve">
108.87 IA, 27.21A Ring</t>
        </r>
      </text>
    </comment>
    <comment ref="AY15" authorId="0" shapeId="0" xr:uid="{00000000-0006-0000-0200-00001A000000}">
      <text>
        <r>
          <rPr>
            <b/>
            <sz val="9"/>
            <color indexed="81"/>
            <rFont val="Tahoma"/>
            <family val="2"/>
          </rPr>
          <t>Resch, Josh:</t>
        </r>
        <r>
          <rPr>
            <sz val="9"/>
            <color indexed="81"/>
            <rFont val="Tahoma"/>
            <family val="2"/>
          </rPr>
          <t xml:space="preserve">
120.14 IA, 29.85A Ring</t>
        </r>
      </text>
    </comment>
    <comment ref="AV16" authorId="0" shapeId="0" xr:uid="{00000000-0006-0000-0200-00001D000000}">
      <text>
        <r>
          <rPr>
            <b/>
            <sz val="9"/>
            <color indexed="81"/>
            <rFont val="Tahoma"/>
            <family val="2"/>
          </rPr>
          <t>Resch, Josh:</t>
        </r>
        <r>
          <rPr>
            <sz val="9"/>
            <color indexed="81"/>
            <rFont val="Tahoma"/>
            <family val="2"/>
          </rPr>
          <t xml:space="preserve">
66.52A GT+GTS</t>
        </r>
      </text>
    </comment>
    <comment ref="AW16" authorId="0" shapeId="0" xr:uid="{00000000-0006-0000-0200-00001E000000}">
      <text>
        <r>
          <rPr>
            <b/>
            <sz val="9"/>
            <color indexed="81"/>
            <rFont val="Tahoma"/>
            <family val="2"/>
          </rPr>
          <t>Resch, Josh:</t>
        </r>
        <r>
          <rPr>
            <sz val="9"/>
            <color indexed="81"/>
            <rFont val="Tahoma"/>
            <family val="2"/>
          </rPr>
          <t xml:space="preserve">
74.98A GT+GTS</t>
        </r>
      </text>
    </comment>
    <comment ref="AY16" authorId="0" shapeId="0" xr:uid="{00000000-0006-0000-0200-00001F000000}">
      <text>
        <r>
          <rPr>
            <b/>
            <sz val="9"/>
            <color indexed="81"/>
            <rFont val="Tahoma"/>
            <family val="2"/>
          </rPr>
          <t>Resch, Josh:</t>
        </r>
        <r>
          <rPr>
            <sz val="9"/>
            <color indexed="81"/>
            <rFont val="Tahoma"/>
            <family val="2"/>
          </rPr>
          <t xml:space="preserve">
72.22A GT+GTS</t>
        </r>
      </text>
    </comment>
    <comment ref="D24" authorId="1" shapeId="0" xr:uid="{00000000-0006-0000-0200-000022000000}">
      <text>
        <r>
          <rPr>
            <b/>
            <sz val="9"/>
            <color indexed="81"/>
            <rFont val="Tahoma"/>
            <family val="2"/>
          </rPr>
          <t>Li, Yifan:</t>
        </r>
        <r>
          <rPr>
            <sz val="9"/>
            <color indexed="81"/>
            <rFont val="Tahoma"/>
            <family val="2"/>
          </rPr>
          <t xml:space="preserve">
1.8V, 1.6V, 1.1V, 0V</t>
        </r>
      </text>
    </comment>
    <comment ref="D29" authorId="1" shapeId="0" xr:uid="{00000000-0006-0000-0200-000023000000}">
      <text>
        <r>
          <rPr>
            <b/>
            <sz val="9"/>
            <color indexed="81"/>
            <rFont val="Tahoma"/>
            <family val="2"/>
          </rPr>
          <t>Li, Yifan:</t>
        </r>
        <r>
          <rPr>
            <sz val="9"/>
            <color indexed="81"/>
            <rFont val="Tahoma"/>
            <family val="2"/>
          </rPr>
          <t xml:space="preserve">
VID set by ?
</t>
        </r>
      </text>
    </comment>
    <comment ref="D41" authorId="0" shapeId="0" xr:uid="{00000000-0006-0000-0200-000026000000}">
      <text>
        <r>
          <rPr>
            <b/>
            <sz val="9"/>
            <color indexed="81"/>
            <rFont val="Tahoma"/>
            <family val="2"/>
          </rPr>
          <t>Resch, Josh:</t>
        </r>
        <r>
          <rPr>
            <sz val="9"/>
            <color indexed="81"/>
            <rFont val="Tahoma"/>
            <family val="2"/>
          </rPr>
          <t xml:space="preserve">
If reusing the SKL PMIC, the 0.8V setting may not be available as it was repurposed as 1.0V for ROHM</t>
        </r>
      </text>
    </comment>
    <comment ref="F41" authorId="0" shapeId="0" xr:uid="{00000000-0006-0000-0200-000027000000}">
      <text>
        <r>
          <rPr>
            <b/>
            <sz val="9"/>
            <color indexed="81"/>
            <rFont val="Tahoma"/>
            <family val="2"/>
          </rPr>
          <t>Resch, Josh:</t>
        </r>
        <r>
          <rPr>
            <sz val="9"/>
            <color indexed="81"/>
            <rFont val="Tahoma"/>
            <family val="2"/>
          </rPr>
          <t xml:space="preserve">
If reusing SKL discrete, 0.7V may be the only option (or to not change voltage)</t>
        </r>
      </text>
    </comment>
    <comment ref="BA42" authorId="0" shapeId="0" xr:uid="{00000000-0006-0000-0200-00002A000000}">
      <text>
        <r>
          <rPr>
            <b/>
            <sz val="9"/>
            <color indexed="81"/>
            <rFont val="Tahoma"/>
            <family val="2"/>
          </rPr>
          <t>Resch, Josh:</t>
        </r>
        <r>
          <rPr>
            <sz val="9"/>
            <color indexed="81"/>
            <rFont val="Tahoma"/>
            <family val="2"/>
          </rPr>
          <t xml:space="preserve">
For 0.95V</t>
        </r>
      </text>
    </comment>
    <comment ref="AD43" authorId="0" shapeId="0" xr:uid="{00000000-0006-0000-0200-00002B000000}">
      <text>
        <r>
          <rPr>
            <b/>
            <sz val="9"/>
            <color indexed="81"/>
            <rFont val="Tahoma"/>
            <family val="2"/>
          </rPr>
          <t>Resch, Josh:</t>
        </r>
        <r>
          <rPr>
            <sz val="9"/>
            <color indexed="81"/>
            <rFont val="Tahoma"/>
            <family val="2"/>
          </rPr>
          <t xml:space="preserve">
Used even when using 3.3V I/O</t>
        </r>
      </text>
    </comment>
    <comment ref="BA57" authorId="0" shapeId="0" xr:uid="{00000000-0006-0000-0200-00002E000000}">
      <text>
        <r>
          <rPr>
            <b/>
            <sz val="9"/>
            <color indexed="81"/>
            <rFont val="Tahoma"/>
            <family val="2"/>
          </rPr>
          <t>Resch, Josh:</t>
        </r>
        <r>
          <rPr>
            <sz val="9"/>
            <color indexed="81"/>
            <rFont val="Tahoma"/>
            <family val="2"/>
          </rPr>
          <t xml:space="preserve">
Grouped all of 5.2mW McIVR power into here</t>
        </r>
      </text>
    </comment>
    <comment ref="AH58" authorId="0" shapeId="0" xr:uid="{00000000-0006-0000-0200-000030000000}">
      <text>
        <r>
          <rPr>
            <b/>
            <sz val="9"/>
            <color indexed="81"/>
            <rFont val="Tahoma"/>
            <family val="2"/>
          </rPr>
          <t>Resch, Josh:</t>
        </r>
        <r>
          <rPr>
            <sz val="9"/>
            <color indexed="81"/>
            <rFont val="Tahoma"/>
            <family val="2"/>
          </rPr>
          <t xml:space="preserve">
Assumes 16GB of LPDDR4.</t>
        </r>
      </text>
    </comment>
    <comment ref="AI58" authorId="2" shapeId="0" xr:uid="{00000000-0006-0000-0200-000031000000}">
      <text>
        <r>
          <rPr>
            <b/>
            <sz val="9"/>
            <color indexed="81"/>
            <rFont val="Tahoma"/>
            <family val="2"/>
          </rPr>
          <t>Author:</t>
        </r>
        <r>
          <rPr>
            <sz val="9"/>
            <color indexed="81"/>
            <rFont val="Tahoma"/>
            <family val="2"/>
          </rPr>
          <t xml:space="preserve">
Assumes 16GB of LPDDR4.</t>
        </r>
      </text>
    </comment>
    <comment ref="AJ58" authorId="0" shapeId="0" xr:uid="{44365BEC-39D3-4F2F-9681-99057956A24F}">
      <text>
        <r>
          <rPr>
            <b/>
            <sz val="9"/>
            <color indexed="81"/>
            <rFont val="Tahoma"/>
            <family val="2"/>
          </rPr>
          <t>Resch, Josh:</t>
        </r>
        <r>
          <rPr>
            <sz val="9"/>
            <color indexed="81"/>
            <rFont val="Tahoma"/>
            <family val="2"/>
          </rPr>
          <t xml:space="preserve">
Assumes 16GB of LPDDR4.</t>
        </r>
      </text>
    </comment>
    <comment ref="AM58" authorId="0" shapeId="0" xr:uid="{6796E199-E235-48D4-B11C-B74E1E90C26E}">
      <text>
        <r>
          <rPr>
            <b/>
            <sz val="9"/>
            <color indexed="81"/>
            <rFont val="Tahoma"/>
            <family val="2"/>
          </rPr>
          <t>Resch, Josh:</t>
        </r>
        <r>
          <rPr>
            <sz val="9"/>
            <color indexed="81"/>
            <rFont val="Tahoma"/>
            <family val="2"/>
          </rPr>
          <t xml:space="preserve">
Assumes 16GB of LPDDR4.</t>
        </r>
      </text>
    </comment>
    <comment ref="AO58" authorId="0" shapeId="0" xr:uid="{FB6FBE85-32D2-43FE-A35F-6682949070BF}">
      <text>
        <r>
          <rPr>
            <b/>
            <sz val="9"/>
            <color indexed="81"/>
            <rFont val="Tahoma"/>
            <family val="2"/>
          </rPr>
          <t>Resch, Josh:</t>
        </r>
        <r>
          <rPr>
            <sz val="9"/>
            <color indexed="81"/>
            <rFont val="Tahoma"/>
            <family val="2"/>
          </rPr>
          <t xml:space="preserve">
Assumes 16GB of LPDDR4.</t>
        </r>
      </text>
    </comment>
    <comment ref="T60" authorId="0" shapeId="0" xr:uid="{00000000-0006-0000-0200-000033000000}">
      <text>
        <r>
          <rPr>
            <b/>
            <sz val="9"/>
            <color indexed="81"/>
            <rFont val="Tahoma"/>
            <family val="2"/>
          </rPr>
          <t>Resch, Josh:</t>
        </r>
        <r>
          <rPr>
            <sz val="9"/>
            <color indexed="81"/>
            <rFont val="Tahoma"/>
            <family val="2"/>
          </rPr>
          <t xml:space="preserve">
In a non-Deep Sleep system, PCH SUS does not need to be power gated.</t>
        </r>
      </text>
    </comment>
    <comment ref="V60" authorId="2" shapeId="0" xr:uid="{00000000-0006-0000-0200-000034000000}">
      <text>
        <r>
          <rPr>
            <b/>
            <sz val="9"/>
            <color indexed="81"/>
            <rFont val="Tahoma"/>
            <family val="2"/>
          </rPr>
          <t>Author:</t>
        </r>
        <r>
          <rPr>
            <sz val="9"/>
            <color indexed="81"/>
            <rFont val="Tahoma"/>
            <family val="2"/>
          </rPr>
          <t xml:space="preserve">
In a non-Deep Sleep system, PCH SUS does not need to be power gated.</t>
        </r>
      </text>
    </comment>
    <comment ref="Y60" authorId="0" shapeId="0" xr:uid="{00000000-0006-0000-0200-000035000000}">
      <text>
        <r>
          <rPr>
            <b/>
            <sz val="9"/>
            <color indexed="81"/>
            <rFont val="Tahoma"/>
            <family val="2"/>
          </rPr>
          <t>Resch, Josh:</t>
        </r>
        <r>
          <rPr>
            <sz val="9"/>
            <color indexed="81"/>
            <rFont val="Tahoma"/>
            <family val="2"/>
          </rPr>
          <t xml:space="preserve">
In a non-Deep Sleep system, PCH SUS does not need to be power gated.</t>
        </r>
      </text>
    </comment>
    <comment ref="AD89" authorId="0" shapeId="0" xr:uid="{00000000-0006-0000-0200-000037000000}">
      <text>
        <r>
          <rPr>
            <b/>
            <sz val="9"/>
            <color indexed="81"/>
            <rFont val="Tahoma"/>
            <family val="2"/>
          </rPr>
          <t>Resch, Josh:</t>
        </r>
        <r>
          <rPr>
            <sz val="9"/>
            <color indexed="81"/>
            <rFont val="Tahoma"/>
            <family val="2"/>
          </rPr>
          <t xml:space="preserve">
Even if overclocked.  Supports 1.1-1.2V (per Tanveer Khondker WW43'14)</t>
        </r>
      </text>
    </comment>
    <comment ref="AH90" authorId="0" shapeId="0" xr:uid="{00000000-0006-0000-0200-000039000000}">
      <text>
        <r>
          <rPr>
            <b/>
            <sz val="9"/>
            <color indexed="81"/>
            <rFont val="Tahoma"/>
            <family val="2"/>
          </rPr>
          <t>Resch, Josh:</t>
        </r>
        <r>
          <rPr>
            <sz val="9"/>
            <color indexed="81"/>
            <rFont val="Tahoma"/>
            <family val="2"/>
          </rPr>
          <t xml:space="preserve">
Assumes 16GB DDR4</t>
        </r>
      </text>
    </comment>
    <comment ref="AI90" authorId="0" shapeId="0" xr:uid="{00000000-0006-0000-0200-00003A000000}">
      <text>
        <r>
          <rPr>
            <b/>
            <sz val="9"/>
            <color indexed="81"/>
            <rFont val="Tahoma"/>
            <family val="2"/>
          </rPr>
          <t>Resch, Josh:</t>
        </r>
        <r>
          <rPr>
            <sz val="9"/>
            <color indexed="81"/>
            <rFont val="Tahoma"/>
            <family val="2"/>
          </rPr>
          <t xml:space="preserve">
Assumes 16GB DDR4</t>
        </r>
      </text>
    </comment>
    <comment ref="AJ90" authorId="0" shapeId="0" xr:uid="{79972631-2549-46EC-9D77-5140F0DE3BD0}">
      <text>
        <r>
          <rPr>
            <b/>
            <sz val="9"/>
            <color indexed="81"/>
            <rFont val="Tahoma"/>
            <family val="2"/>
          </rPr>
          <t>Resch, Josh:</t>
        </r>
        <r>
          <rPr>
            <sz val="9"/>
            <color indexed="81"/>
            <rFont val="Tahoma"/>
            <family val="2"/>
          </rPr>
          <t xml:space="preserve">
Assumes 16GB DDR4</t>
        </r>
      </text>
    </comment>
    <comment ref="AM90" authorId="0" shapeId="0" xr:uid="{8CED3208-D690-4368-98B2-8FF577DD8F53}">
      <text>
        <r>
          <rPr>
            <b/>
            <sz val="9"/>
            <color indexed="81"/>
            <rFont val="Tahoma"/>
            <family val="2"/>
          </rPr>
          <t>Resch, Josh:</t>
        </r>
        <r>
          <rPr>
            <sz val="9"/>
            <color indexed="81"/>
            <rFont val="Tahoma"/>
            <family val="2"/>
          </rPr>
          <t xml:space="preserve">
Assumes 16GB DDR4</t>
        </r>
      </text>
    </comment>
    <comment ref="AO90" authorId="0" shapeId="0" xr:uid="{2ACCB32D-E050-4B18-BB0C-B4121F99C447}">
      <text>
        <r>
          <rPr>
            <b/>
            <sz val="9"/>
            <color indexed="81"/>
            <rFont val="Tahoma"/>
            <family val="2"/>
          </rPr>
          <t>Resch, Josh:</t>
        </r>
        <r>
          <rPr>
            <sz val="9"/>
            <color indexed="81"/>
            <rFont val="Tahoma"/>
            <family val="2"/>
          </rPr>
          <t xml:space="preserve">
Assumes 16GB DDR4</t>
        </r>
      </text>
    </comment>
    <comment ref="AT90" authorId="0" shapeId="0" xr:uid="{00000000-0006-0000-0200-00003B000000}">
      <text>
        <r>
          <rPr>
            <b/>
            <sz val="9"/>
            <color indexed="81"/>
            <rFont val="Tahoma"/>
            <family val="2"/>
          </rPr>
          <t>Resch, Josh:</t>
        </r>
        <r>
          <rPr>
            <sz val="9"/>
            <color indexed="81"/>
            <rFont val="Tahoma"/>
            <family val="2"/>
          </rPr>
          <t xml:space="preserve">
Assumes 64GB DDR4</t>
        </r>
      </text>
    </comment>
    <comment ref="AU90" authorId="0" shapeId="0" xr:uid="{00000000-0006-0000-0200-00003C000000}">
      <text>
        <r>
          <rPr>
            <b/>
            <sz val="9"/>
            <color indexed="81"/>
            <rFont val="Tahoma"/>
            <family val="2"/>
          </rPr>
          <t>Resch, Josh:</t>
        </r>
        <r>
          <rPr>
            <sz val="9"/>
            <color indexed="81"/>
            <rFont val="Tahoma"/>
            <family val="2"/>
          </rPr>
          <t xml:space="preserve">
Assumes 64GB DDR4</t>
        </r>
      </text>
    </comment>
    <comment ref="AV90" authorId="0" shapeId="0" xr:uid="{00000000-0006-0000-0200-00003D000000}">
      <text>
        <r>
          <rPr>
            <b/>
            <sz val="9"/>
            <color indexed="81"/>
            <rFont val="Tahoma"/>
            <family val="2"/>
          </rPr>
          <t>Resch, Josh:</t>
        </r>
        <r>
          <rPr>
            <sz val="9"/>
            <color indexed="81"/>
            <rFont val="Tahoma"/>
            <family val="2"/>
          </rPr>
          <t xml:space="preserve">
Assumes 64GB DDR4</t>
        </r>
      </text>
    </comment>
    <comment ref="AW90" authorId="0" shapeId="0" xr:uid="{00000000-0006-0000-0200-00003E000000}">
      <text>
        <r>
          <rPr>
            <b/>
            <sz val="9"/>
            <color indexed="81"/>
            <rFont val="Tahoma"/>
            <family val="2"/>
          </rPr>
          <t>Resch, Josh:</t>
        </r>
        <r>
          <rPr>
            <sz val="9"/>
            <color indexed="81"/>
            <rFont val="Tahoma"/>
            <family val="2"/>
          </rPr>
          <t xml:space="preserve">
Assumes 64GB DDR4</t>
        </r>
      </text>
    </comment>
    <comment ref="AY90" authorId="0" shapeId="0" xr:uid="{00000000-0006-0000-0200-00003F000000}">
      <text>
        <r>
          <rPr>
            <b/>
            <sz val="9"/>
            <color indexed="81"/>
            <rFont val="Tahoma"/>
            <family val="2"/>
          </rPr>
          <t>Resch, Josh:</t>
        </r>
        <r>
          <rPr>
            <sz val="9"/>
            <color indexed="81"/>
            <rFont val="Tahoma"/>
            <family val="2"/>
          </rPr>
          <t xml:space="preserve">
Assumes 64GB DDR4</t>
        </r>
      </text>
    </comment>
    <comment ref="CN93" authorId="0" shapeId="0" xr:uid="{00000000-0006-0000-0200-000040000000}">
      <text>
        <r>
          <rPr>
            <b/>
            <sz val="9"/>
            <color indexed="81"/>
            <rFont val="Tahoma"/>
            <family val="2"/>
          </rPr>
          <t>Resch, Josh:</t>
        </r>
        <r>
          <rPr>
            <sz val="9"/>
            <color indexed="81"/>
            <rFont val="Tahoma"/>
            <family val="2"/>
          </rPr>
          <t xml:space="preserve">
For DDR4/DDR4L</t>
        </r>
      </text>
    </comment>
    <comment ref="CQ93" authorId="0" shapeId="0" xr:uid="{00000000-0006-0000-0200-000041000000}">
      <text>
        <r>
          <rPr>
            <b/>
            <sz val="9"/>
            <color indexed="81"/>
            <rFont val="Tahoma"/>
            <family val="2"/>
          </rPr>
          <t>Resch, Josh:</t>
        </r>
        <r>
          <rPr>
            <sz val="9"/>
            <color indexed="81"/>
            <rFont val="Tahoma"/>
            <family val="2"/>
          </rPr>
          <t xml:space="preserve">
For DDR4/DDR4L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 Yifan</author>
  </authors>
  <commentList>
    <comment ref="P8" authorId="0" shapeId="0" xr:uid="{00000000-0006-0000-0400-000001000000}">
      <text>
        <r>
          <rPr>
            <b/>
            <sz val="9"/>
            <color indexed="81"/>
            <rFont val="Tahoma"/>
            <family val="2"/>
          </rPr>
          <t>Li, Yifan:</t>
        </r>
        <r>
          <rPr>
            <sz val="9"/>
            <color indexed="81"/>
            <rFont val="Tahoma"/>
            <family val="2"/>
          </rPr>
          <t xml:space="preserve">
No VDD2 on platform. Name is from other SPEC</t>
        </r>
      </text>
    </comment>
    <comment ref="T8" authorId="0" shapeId="0" xr:uid="{00000000-0006-0000-0400-000002000000}">
      <text>
        <r>
          <rPr>
            <b/>
            <sz val="9"/>
            <color indexed="81"/>
            <rFont val="Tahoma"/>
            <family val="2"/>
          </rPr>
          <t>Li, Yifan:</t>
        </r>
        <r>
          <rPr>
            <sz val="9"/>
            <color indexed="81"/>
            <rFont val="Tahoma"/>
            <family val="2"/>
          </rPr>
          <t xml:space="preserve">
The same as VPP. DDR4 no VDD1</t>
        </r>
      </text>
    </comment>
  </commentList>
</comments>
</file>

<file path=xl/sharedStrings.xml><?xml version="1.0" encoding="utf-8"?>
<sst xmlns="http://schemas.openxmlformats.org/spreadsheetml/2006/main" count="2053" uniqueCount="617">
  <si>
    <t>Intel CONFIDENTAL for use under NDA</t>
  </si>
  <si>
    <t>Voltage Regulators (VRs)</t>
  </si>
  <si>
    <t>Load Switches (LS)</t>
  </si>
  <si>
    <t>Load Summary</t>
  </si>
  <si>
    <t>System Rail Level Connections</t>
  </si>
  <si>
    <t>PMIC V#</t>
  </si>
  <si>
    <t>RAIL NAME</t>
  </si>
  <si>
    <t>Enable</t>
  </si>
  <si>
    <r>
      <t>V</t>
    </r>
    <r>
      <rPr>
        <vertAlign val="subscript"/>
        <sz val="11"/>
        <color theme="1"/>
        <rFont val="Calibri"/>
        <family val="2"/>
        <scheme val="minor"/>
      </rPr>
      <t>IN</t>
    </r>
  </si>
  <si>
    <r>
      <t>V</t>
    </r>
    <r>
      <rPr>
        <vertAlign val="subscript"/>
        <sz val="11"/>
        <color theme="1"/>
        <rFont val="Calibri"/>
        <family val="2"/>
        <scheme val="minor"/>
      </rPr>
      <t>OUT</t>
    </r>
  </si>
  <si>
    <r>
      <t>I</t>
    </r>
    <r>
      <rPr>
        <vertAlign val="subscript"/>
        <sz val="11"/>
        <color theme="1"/>
        <rFont val="Calibri"/>
        <family val="2"/>
        <scheme val="minor"/>
      </rPr>
      <t>MAX</t>
    </r>
  </si>
  <si>
    <r>
      <t>I</t>
    </r>
    <r>
      <rPr>
        <vertAlign val="subscript"/>
        <sz val="11"/>
        <color theme="1"/>
        <rFont val="Calibri"/>
        <family val="2"/>
        <scheme val="minor"/>
      </rPr>
      <t>STNDBY</t>
    </r>
  </si>
  <si>
    <t>SUB-RAIL NAME</t>
  </si>
  <si>
    <r>
      <t>Max R</t>
    </r>
    <r>
      <rPr>
        <vertAlign val="subscript"/>
        <sz val="11"/>
        <color theme="1"/>
        <rFont val="Calibri"/>
        <family val="2"/>
        <scheme val="minor"/>
      </rPr>
      <t>dsON</t>
    </r>
  </si>
  <si>
    <t>LOAD NAME</t>
  </si>
  <si>
    <r>
      <t>V</t>
    </r>
    <r>
      <rPr>
        <vertAlign val="subscript"/>
        <sz val="11"/>
        <color theme="1"/>
        <rFont val="Calibri"/>
        <family val="2"/>
        <scheme val="minor"/>
      </rPr>
      <t>NOMINAL</t>
    </r>
  </si>
  <si>
    <t>V</t>
  </si>
  <si>
    <t>CPU</t>
  </si>
  <si>
    <t>V1</t>
  </si>
  <si>
    <t>VDC</t>
  </si>
  <si>
    <t>SVID controlled</t>
  </si>
  <si>
    <t>VCCIN_AUX</t>
  </si>
  <si>
    <t>VID</t>
  </si>
  <si>
    <t>VCCIO</t>
  </si>
  <si>
    <t>PCH sets VID: 0.85, 0.875, 0.95, 0.975V</t>
  </si>
  <si>
    <t>V13</t>
  </si>
  <si>
    <t>V8</t>
  </si>
  <si>
    <t>VDDQ</t>
  </si>
  <si>
    <t>VDDQ/2</t>
  </si>
  <si>
    <t>V1.8A</t>
  </si>
  <si>
    <t xml:space="preserve">VTT  </t>
  </si>
  <si>
    <t>V2.5U</t>
  </si>
  <si>
    <t>V1.8S</t>
  </si>
  <si>
    <t>SLP_S3#</t>
  </si>
  <si>
    <t>V3.3A (PCH)</t>
  </si>
  <si>
    <t>PCH</t>
  </si>
  <si>
    <t>V12</t>
  </si>
  <si>
    <t>V3.3_DSW</t>
  </si>
  <si>
    <t>*CCG recommends NVDC charger and 2SxP battery for better VR performance, however traditional 3SxP battery and non-NVDC charger may implemented in some designs</t>
  </si>
  <si>
    <t>V6</t>
  </si>
  <si>
    <t xml:space="preserve">     V7 (V3.3A_PCH) merged into V6</t>
  </si>
  <si>
    <t xml:space="preserve">     V3.3_DSW max loading de-rated by 40%. Actual loading varies by design.</t>
  </si>
  <si>
    <t>V1.05A</t>
  </si>
  <si>
    <t>Vnn ByPass</t>
  </si>
  <si>
    <t>V1.05 ByPass</t>
  </si>
  <si>
    <t>eDP panel</t>
  </si>
  <si>
    <t>V3.3Dx_EDP</t>
  </si>
  <si>
    <t>V3.3Dx_CAMERA</t>
  </si>
  <si>
    <t>Ft. Camera, Back Camera, Finger Print Sensor</t>
  </si>
  <si>
    <t>V5</t>
  </si>
  <si>
    <t>VR Naming Convention</t>
  </si>
  <si>
    <t>V3.3S</t>
  </si>
  <si>
    <t>Misc components</t>
  </si>
  <si>
    <t>Suffix</t>
  </si>
  <si>
    <t>Engerized States</t>
  </si>
  <si>
    <t>S</t>
  </si>
  <si>
    <t>On in S0, S0ix</t>
  </si>
  <si>
    <t>V3.3S_SENSORS</t>
  </si>
  <si>
    <t>Sensors</t>
  </si>
  <si>
    <t>U</t>
  </si>
  <si>
    <t>On in S0 - S3</t>
  </si>
  <si>
    <t>A</t>
  </si>
  <si>
    <t>On in S0 - S5</t>
  </si>
  <si>
    <t>V3.3Dx_TOUCHSCREEN</t>
  </si>
  <si>
    <t>Touch Screen</t>
  </si>
  <si>
    <t>DSW</t>
  </si>
  <si>
    <t>On in S0 - DS4/DS5</t>
  </si>
  <si>
    <t>V5A</t>
  </si>
  <si>
    <t>V1.8S_SENSORS</t>
  </si>
  <si>
    <t>V5Dx_HDMIWP</t>
  </si>
  <si>
    <t>SSD</t>
  </si>
  <si>
    <t>V3.3Dx_SSD</t>
  </si>
  <si>
    <t>V1.8S_SSD</t>
  </si>
  <si>
    <t>V3.3Dx_SDCARD</t>
  </si>
  <si>
    <t>Multi-media card slot (SD/eMMC Add-in slot)</t>
  </si>
  <si>
    <t>V1.8S_SDCARD</t>
  </si>
  <si>
    <t>I/O</t>
  </si>
  <si>
    <t>WWAN</t>
  </si>
  <si>
    <t>PCIE or SSIC or USB3 for 3G/4G</t>
  </si>
  <si>
    <t>WIFI</t>
  </si>
  <si>
    <t>V3.3Dx_WIFI</t>
  </si>
  <si>
    <t>V5S_AUDIO</t>
  </si>
  <si>
    <t>Analog</t>
  </si>
  <si>
    <t>V3.3S_AUDIO</t>
  </si>
  <si>
    <t>Core</t>
  </si>
  <si>
    <t>V1.8S_AUDIO</t>
  </si>
  <si>
    <t>V3.3A_EC</t>
  </si>
  <si>
    <t>V1.8A_EC</t>
  </si>
  <si>
    <t>HDMI Walkup Port</t>
  </si>
  <si>
    <t>V3.3Dx_DPWP</t>
  </si>
  <si>
    <t>DP 1.3/1.4 Walkup Port</t>
  </si>
  <si>
    <t>Misc</t>
  </si>
  <si>
    <t>BIOS Flash</t>
  </si>
  <si>
    <t>SLP_S4#</t>
  </si>
  <si>
    <t>SVID</t>
  </si>
  <si>
    <t>VR_EN</t>
  </si>
  <si>
    <t>DDR_VTT_CTRL</t>
  </si>
  <si>
    <t>VTT (VDDQ/2)</t>
  </si>
  <si>
    <t>SLP_SUS#</t>
  </si>
  <si>
    <t>VTT(DDR4only)</t>
  </si>
  <si>
    <t>Lookup Table</t>
  </si>
  <si>
    <t>Iccmax (A)</t>
  </si>
  <si>
    <t>Icc_standby (mA)</t>
  </si>
  <si>
    <t>Voltage (V)</t>
  </si>
  <si>
    <t>DRAM Type</t>
  </si>
  <si>
    <t>VPP</t>
  </si>
  <si>
    <t>VTT</t>
  </si>
  <si>
    <t>-----</t>
  </si>
  <si>
    <t>Example Rail Configurations</t>
  </si>
  <si>
    <t>High Confidence</t>
  </si>
  <si>
    <t>Prelim Si Estimates</t>
  </si>
  <si>
    <t>Known Issue</t>
  </si>
  <si>
    <t>No Info</t>
  </si>
  <si>
    <t>Over VR/FET Budget</t>
  </si>
  <si>
    <t>Not applicable</t>
  </si>
  <si>
    <t>Supplied by Int VR</t>
  </si>
  <si>
    <t>PnP Measured</t>
  </si>
  <si>
    <t>CNL-Y, -U 2+2 Mobile</t>
  </si>
  <si>
    <r>
      <t xml:space="preserve">CNL-U' 4+3e Mobile
</t>
    </r>
    <r>
      <rPr>
        <b/>
        <i/>
        <sz val="11"/>
        <color rgb="FFFFFF00"/>
        <rFont val="Arial"/>
        <family val="2"/>
      </rPr>
      <t>FIVR</t>
    </r>
  </si>
  <si>
    <r>
      <t xml:space="preserve">CNL-H Halo
</t>
    </r>
    <r>
      <rPr>
        <b/>
        <i/>
        <sz val="11"/>
        <color rgb="FFFFFF00"/>
        <rFont val="Arial"/>
        <family val="2"/>
      </rPr>
      <t>FIVR</t>
    </r>
  </si>
  <si>
    <r>
      <t xml:space="preserve">CNL-S Desktop
</t>
    </r>
    <r>
      <rPr>
        <b/>
        <i/>
        <sz val="11"/>
        <color rgb="FFFFFF00"/>
        <rFont val="Arial"/>
        <family val="2"/>
      </rPr>
      <t>FIVR</t>
    </r>
  </si>
  <si>
    <t>Load Switch Enable / (Low Power Mode Enable)</t>
  </si>
  <si>
    <t>Load Location</t>
  </si>
  <si>
    <t>Ungated I_connected-standby (mA) per SKU - See color Key for information</t>
  </si>
  <si>
    <t>Premium ($$$)</t>
  </si>
  <si>
    <t>Volume ($$)</t>
  </si>
  <si>
    <t>Value ($)
NOT POR</t>
  </si>
  <si>
    <t>Premium($$$)</t>
  </si>
  <si>
    <t>6+2</t>
  </si>
  <si>
    <t>6+4ee</t>
  </si>
  <si>
    <t>4+1</t>
  </si>
  <si>
    <t>4+4e
BELOW ZBB</t>
  </si>
  <si>
    <t>SKL Comparison</t>
  </si>
  <si>
    <t>Skylake-Y Volume Loading</t>
  </si>
  <si>
    <t>Skylake-Y Premium</t>
  </si>
  <si>
    <t>SKL-Y</t>
  </si>
  <si>
    <t>MGC Platform Comparison</t>
  </si>
  <si>
    <t>Platform Rail</t>
  </si>
  <si>
    <t>Tier / Configuration</t>
  </si>
  <si>
    <t>Operating Voltage</t>
  </si>
  <si>
    <t>VBOOT/Default</t>
  </si>
  <si>
    <t>S0i3 Voltage</t>
  </si>
  <si>
    <t>Tolerance at BGA ball</t>
  </si>
  <si>
    <t>VR Iccmax Limit</t>
  </si>
  <si>
    <t>VR Enable, Deep Sleep System</t>
  </si>
  <si>
    <t>VR Enable, Non-Deep Sleep System</t>
  </si>
  <si>
    <t>Low Power Mode Signal</t>
  </si>
  <si>
    <t>Low Power Mode Voltage</t>
  </si>
  <si>
    <t>Low Power Mode max ramp up time</t>
  </si>
  <si>
    <t>States when VR is non-zero, subject to change</t>
  </si>
  <si>
    <t>States when VR controller is powered</t>
  </si>
  <si>
    <t>Comments</t>
  </si>
  <si>
    <t>Plan / Next Steps</t>
  </si>
  <si>
    <t>Iccmax Options</t>
  </si>
  <si>
    <t>PCH Well</t>
  </si>
  <si>
    <t>Plat</t>
  </si>
  <si>
    <t>Load</t>
  </si>
  <si>
    <t>-Y 5.2W</t>
  </si>
  <si>
    <t>-U22 15W</t>
  </si>
  <si>
    <t>-U43e 15W</t>
  </si>
  <si>
    <t>-U43e 28W</t>
  </si>
  <si>
    <t>-U43e 45W</t>
  </si>
  <si>
    <t>-H62 45W</t>
  </si>
  <si>
    <t>-S41 35W</t>
  </si>
  <si>
    <t>-S41 65W</t>
  </si>
  <si>
    <t>-S62 35W</t>
  </si>
  <si>
    <t>-S62 65W</t>
  </si>
  <si>
    <t>-S62 95W</t>
  </si>
  <si>
    <t>DDR3L
NOT POR</t>
  </si>
  <si>
    <t>LPDDR3</t>
  </si>
  <si>
    <t>DDR4</t>
  </si>
  <si>
    <t>DDR4L
NOT POR</t>
  </si>
  <si>
    <t>LPDDR4</t>
  </si>
  <si>
    <t>SKL Reuse</t>
  </si>
  <si>
    <t>SKL Volume</t>
  </si>
  <si>
    <r>
      <t>I</t>
    </r>
    <r>
      <rPr>
        <b/>
        <vertAlign val="subscript"/>
        <sz val="11"/>
        <color rgb="FFFFFFFF"/>
        <rFont val="Arial"/>
        <family val="2"/>
      </rPr>
      <t>max</t>
    </r>
  </si>
  <si>
    <r>
      <t>I</t>
    </r>
    <r>
      <rPr>
        <b/>
        <vertAlign val="subscript"/>
        <sz val="11"/>
        <color rgb="FFFFFFFF"/>
        <rFont val="Arial"/>
        <family val="2"/>
      </rPr>
      <t>S0i3</t>
    </r>
  </si>
  <si>
    <t>Eff at Imax</t>
  </si>
  <si>
    <t>Max Slew Rate</t>
  </si>
  <si>
    <r>
      <t xml:space="preserve">BSW Equiv - </t>
    </r>
    <r>
      <rPr>
        <b/>
        <sz val="16"/>
        <color rgb="FFFF0066"/>
        <rFont val="Arial"/>
        <family val="2"/>
      </rPr>
      <t>WIP</t>
    </r>
  </si>
  <si>
    <r>
      <t xml:space="preserve">BXT Equiv - </t>
    </r>
    <r>
      <rPr>
        <b/>
        <sz val="16"/>
        <color rgb="FFFF0066"/>
        <rFont val="Arial"/>
        <family val="2"/>
      </rPr>
      <t>WIP</t>
    </r>
  </si>
  <si>
    <t>VccIN</t>
  </si>
  <si>
    <t>TBD</t>
  </si>
  <si>
    <t>Off</t>
  </si>
  <si>
    <t>FIVR: S0 PC0-PC7
MCIVR:</t>
  </si>
  <si>
    <t>S0 PC0-PC9</t>
  </si>
  <si>
    <t>X</t>
  </si>
  <si>
    <t>N/A</t>
  </si>
  <si>
    <t>VCCIN</t>
  </si>
  <si>
    <t>VccCORE</t>
  </si>
  <si>
    <t>S0 PC0-PC7</t>
  </si>
  <si>
    <t>(McIVR1)</t>
  </si>
  <si>
    <t>(FIVR1)</t>
  </si>
  <si>
    <t>VCORE SVID</t>
  </si>
  <si>
    <t xml:space="preserve">VCORE SVID </t>
  </si>
  <si>
    <t>VCORE + GT SVID (not POR)</t>
  </si>
  <si>
    <t>(FIVR)</t>
  </si>
  <si>
    <t>VCCIN SVID (FIVR)</t>
  </si>
  <si>
    <t>Reuse IMVP8 for CORE or for FIVR</t>
  </si>
  <si>
    <t>VCORE</t>
  </si>
  <si>
    <t>VCC</t>
  </si>
  <si>
    <t>VccGT</t>
  </si>
  <si>
    <t>GT (Slice)</t>
  </si>
  <si>
    <t>(McIVR2)</t>
  </si>
  <si>
    <t>(FIVR2)</t>
  </si>
  <si>
    <t>VccGT SVID</t>
  </si>
  <si>
    <t xml:space="preserve">VccGT SVID </t>
  </si>
  <si>
    <t>Reuse IMVP8 (if not FIVR)</t>
  </si>
  <si>
    <t>VGG</t>
  </si>
  <si>
    <t>VNN</t>
  </si>
  <si>
    <t>VccGTU</t>
  </si>
  <si>
    <t>Integrated VR only</t>
  </si>
  <si>
    <t>GT Unslice</t>
  </si>
  <si>
    <t>VccGTU SVID</t>
  </si>
  <si>
    <t>VccEDRAM</t>
  </si>
  <si>
    <t>(could be off at any PC state)</t>
  </si>
  <si>
    <t>EDRAM</t>
  </si>
  <si>
    <t>(FIVR3)</t>
  </si>
  <si>
    <t>Reuse in eDRAM systems</t>
  </si>
  <si>
    <t>VccEOPIO</t>
  </si>
  <si>
    <t>EOPIO</t>
  </si>
  <si>
    <t>(FIVR4)</t>
  </si>
  <si>
    <t>VccSA</t>
  </si>
  <si>
    <t>1.00 or 1.05 depending on SKU</t>
  </si>
  <si>
    <t>S0 PC0-PC8</t>
  </si>
  <si>
    <t>SA</t>
  </si>
  <si>
    <t>(McIVR3)</t>
  </si>
  <si>
    <t>VccSA SVID</t>
  </si>
  <si>
    <t>VccSA non-SVID</t>
  </si>
  <si>
    <t>VccSA Fixed</t>
  </si>
  <si>
    <t>Reuse IMVP8</t>
  </si>
  <si>
    <t>VNNAON</t>
  </si>
  <si>
    <t>VccIN TDC Value (A)</t>
  </si>
  <si>
    <t>Premium</t>
  </si>
  <si>
    <t>0.95</t>
  </si>
  <si>
    <t>Premium: +/-50mV</t>
  </si>
  <si>
    <t>SLP_S3# &amp; VDDQ_PG</t>
  </si>
  <si>
    <t>CPU_VCCIO_PWR_EN# (muxed on GPPC_H_18).
SLP_S0# is also valid but does not save as much power.</t>
  </si>
  <si>
    <t>0 V</t>
  </si>
  <si>
    <t>100 us</t>
  </si>
  <si>
    <t>S0-S0ix</t>
  </si>
  <si>
    <t>VR is Off in C10
4G only @ 0.95V-1V(?), 2G only @ 0.85V.
Merged with V1.05A in non-Premium platforms.</t>
  </si>
  <si>
    <t>(CPU_C10_GATE#)</t>
  </si>
  <si>
    <t>VCCIO, CPU portion (includes OPI and CPU IO  DDR I/O, CSI Combo, Display I/O)</t>
  </si>
  <si>
    <t>(McIVR4)</t>
  </si>
  <si>
    <t>VCCIO (Looking to merge with VCCSA)</t>
  </si>
  <si>
    <t>Reuse VCCIO or 1.0V</t>
  </si>
  <si>
    <t>V1.0A</t>
  </si>
  <si>
    <t>60 mV/μs</t>
  </si>
  <si>
    <t>none</t>
  </si>
  <si>
    <t>Small change based on BW usage</t>
  </si>
  <si>
    <t>VCCIO, PCH portion</t>
  </si>
  <si>
    <t>Volume - Merged with V1.05A</t>
  </si>
  <si>
    <t>1.05</t>
  </si>
  <si>
    <t>Volume: TBD due to pass FET</t>
  </si>
  <si>
    <t>Volume: VCCIO (includes OPI and CPU IO (CPU portion), DDR I/O, CSI Combo, Display I/O)</t>
  </si>
  <si>
    <t>Volume: VCCIO (PCH portion)</t>
  </si>
  <si>
    <t>0.85-0.9</t>
  </si>
  <si>
    <t>+/-5% on non-gated rails, TBD on gated rails</t>
  </si>
  <si>
    <t>SLP_S0#</t>
  </si>
  <si>
    <t>0.95V</t>
  </si>
  <si>
    <t>S0-S5</t>
  </si>
  <si>
    <t>Increased to 1.05V for PCH HIP.</t>
  </si>
  <si>
    <t>VCCSTG (assumes CSI included)</t>
  </si>
  <si>
    <t>Reuse 1.0V --&gt; 1.05</t>
  </si>
  <si>
    <t>Based on # of USB ports (not much variation when merged with 1.05V)</t>
  </si>
  <si>
    <t>SUS</t>
  </si>
  <si>
    <t>Primary, I/O, SRAM (excludes gated MPHY/SRAM)</t>
  </si>
  <si>
    <r>
      <t>4m</t>
    </r>
    <r>
      <rPr>
        <sz val="10"/>
        <color rgb="FF061922"/>
        <rFont val="Calibri"/>
        <family val="2"/>
      </rPr>
      <t>Ω</t>
    </r>
    <r>
      <rPr>
        <sz val="10"/>
        <color rgb="FF061922"/>
        <rFont val="Arial"/>
        <family val="2"/>
      </rPr>
      <t xml:space="preserve"> MPHY FET: 2.25A</t>
    </r>
  </si>
  <si>
    <t>Based on # of High Speed ports</t>
  </si>
  <si>
    <t>EXT_PWR_GATE</t>
  </si>
  <si>
    <t>MPHY &amp; SRAM gated portion</t>
  </si>
  <si>
    <t>Based on using or not using</t>
  </si>
  <si>
    <t>CNVi (included in Primary number)</t>
  </si>
  <si>
    <t>PCH sets VID: 0.90, 0.95, 1.0, 1.05</t>
  </si>
  <si>
    <t>PCH sets VID: 0.7, 0.75, 0.8</t>
  </si>
  <si>
    <t>Merged with V1.05A in non-Premium platforms.</t>
  </si>
  <si>
    <t>Based on # of High Speed ports; also whether or not merged with 1.05V</t>
  </si>
  <si>
    <t>(SLP_S0#)</t>
  </si>
  <si>
    <t>PCH core (VID capable)</t>
  </si>
  <si>
    <t>VPCHPRIMCORE</t>
  </si>
  <si>
    <t>Reuse 0.85 or 1.0V</t>
  </si>
  <si>
    <t>+/-5%</t>
  </si>
  <si>
    <t>Volume: PCH core (VID capable)</t>
  </si>
  <si>
    <t>1.8</t>
  </si>
  <si>
    <t>SLP_SUS# or DSW</t>
  </si>
  <si>
    <t>S0-DSx</t>
  </si>
  <si>
    <t>Desktop does not have 1.8V so we need to ensure those platforms can use 3.3V.</t>
  </si>
  <si>
    <t>SUS/ DSW</t>
  </si>
  <si>
    <t>Reuse 1.8V</t>
  </si>
  <si>
    <t>CNVi logic (included in PCH V1.8A)</t>
  </si>
  <si>
    <t>EC on eSPI (no power gating)</t>
  </si>
  <si>
    <t>Flash</t>
  </si>
  <si>
    <t>Audio</t>
  </si>
  <si>
    <t>SDCard</t>
  </si>
  <si>
    <t>GPIO_D</t>
  </si>
  <si>
    <t>3G4G WWAN</t>
  </si>
  <si>
    <t>Integrated VR</t>
  </si>
  <si>
    <t>LPDDR3 and LPDDR4 only:VDD1</t>
  </si>
  <si>
    <t>See DRAM tab</t>
  </si>
  <si>
    <t>3.3</t>
  </si>
  <si>
    <t>3.3
(3.0V in 1S system)</t>
  </si>
  <si>
    <t>Note: In 1S battery systems, TR underway to support down to 3.0V for loads on this rail.</t>
  </si>
  <si>
    <t>DSW: GPIO, USB2 and misc circuits</t>
  </si>
  <si>
    <t>WIP</t>
  </si>
  <si>
    <t>V3.3DSW</t>
  </si>
  <si>
    <t>Reuse 3.3V</t>
  </si>
  <si>
    <t>6.6 mV/μs</t>
  </si>
  <si>
    <t>V3.3A</t>
  </si>
  <si>
    <t>3.3 Merged SUS - CNVi adder</t>
  </si>
  <si>
    <t>CNVi radio (Lincoln Peak)</t>
  </si>
  <si>
    <t>always rail (legacy comprehended)</t>
  </si>
  <si>
    <t>GPIO_B</t>
  </si>
  <si>
    <t>GPIO_L</t>
  </si>
  <si>
    <t>Embedded DisplayPort</t>
  </si>
  <si>
    <t>GPIO_DP</t>
  </si>
  <si>
    <t>DisplayPort walkup port</t>
  </si>
  <si>
    <t>Camera</t>
  </si>
  <si>
    <t>Touchscreen</t>
  </si>
  <si>
    <t>Misc components gated by SLP_S3#</t>
  </si>
  <si>
    <t>5.0</t>
  </si>
  <si>
    <t>HDMI walkup port</t>
  </si>
  <si>
    <t>Reuse 5.0V</t>
  </si>
  <si>
    <t>VDDQ (V1.1U/V1.2U)</t>
  </si>
  <si>
    <t>VDDQ (1.1, 1.2)</t>
  </si>
  <si>
    <t>Wired to DRAM type</t>
  </si>
  <si>
    <t>VDDQ (1.1-1.2)</t>
  </si>
  <si>
    <t>S0-S3</t>
  </si>
  <si>
    <t>Loads listed here can support both 1.1V and 1.2V, except for the DRAM which drives the voltage of this rail.</t>
  </si>
  <si>
    <t>CPU VDDQ</t>
  </si>
  <si>
    <t>No data</t>
  </si>
  <si>
    <t>VDDQ @ 1.35</t>
  </si>
  <si>
    <t>VDDQ @ 1.2</t>
  </si>
  <si>
    <t>VDDQ @ 1.1</t>
  </si>
  <si>
    <t>Reuse VDDQ</t>
  </si>
  <si>
    <t>V1.2U</t>
  </si>
  <si>
    <t>VccSFR_OC, Thermal Sensor, BGRef</t>
  </si>
  <si>
    <t>DRAM VDDQ</t>
  </si>
  <si>
    <t>DRAM VDD2</t>
  </si>
  <si>
    <r>
      <t xml:space="preserve">V2.5U
</t>
    </r>
    <r>
      <rPr>
        <i/>
        <sz val="10"/>
        <color rgb="FF061922"/>
        <rFont val="Arial"/>
        <family val="2"/>
      </rPr>
      <t>DDR4 system only</t>
    </r>
  </si>
  <si>
    <t>2.5</t>
  </si>
  <si>
    <t>Reuse in DDR4 &amp; DDR4L systems</t>
  </si>
  <si>
    <t>S0</t>
  </si>
  <si>
    <t>LDO</t>
  </si>
  <si>
    <t>VTT @ 0.675</t>
  </si>
  <si>
    <t>VTT @ 0.6</t>
  </si>
  <si>
    <t>0.55</t>
  </si>
  <si>
    <t>VTT @ 0.55</t>
  </si>
  <si>
    <t>Reuse VTT</t>
  </si>
  <si>
    <t>VCC_RTC</t>
  </si>
  <si>
    <t>3.0</t>
  </si>
  <si>
    <t>S0-G3</t>
  </si>
  <si>
    <t>RTC</t>
  </si>
  <si>
    <t>Real Time Clock</t>
  </si>
  <si>
    <t>Reuse RTC circuit</t>
  </si>
  <si>
    <t>VBATT</t>
  </si>
  <si>
    <t>Total # Switcher Rails:</t>
  </si>
  <si>
    <t>Guidelines for Power Maps are shaded:</t>
  </si>
  <si>
    <t>MT/s = Megatransfers per second
DPC = DIMMs (Dual In-line Memory Modules) per channel</t>
  </si>
  <si>
    <t>Note: VDDQ does not include CPU loading</t>
  </si>
  <si>
    <t>Combination Totals (Calculated):</t>
  </si>
  <si>
    <t>VDD2 (1.1, 1.2)</t>
  </si>
  <si>
    <t>VDDQ (0.6, 1.1, 1.2)</t>
  </si>
  <si>
    <t>VPP (2.5)</t>
  </si>
  <si>
    <t>All DRAM</t>
  </si>
  <si>
    <t>V1.05_bypass</t>
  </si>
  <si>
    <t>Vnn_bypass</t>
  </si>
  <si>
    <r>
      <t xml:space="preserve">VCCIO
</t>
    </r>
    <r>
      <rPr>
        <i/>
        <sz val="8"/>
        <color theme="2" tint="-0.249977111117893"/>
        <rFont val="Arial"/>
        <family val="2"/>
      </rPr>
      <t>Merged with V1.05A in "Volume"</t>
    </r>
  </si>
  <si>
    <r>
      <t xml:space="preserve">VPCHPRIMCORE
</t>
    </r>
    <r>
      <rPr>
        <i/>
        <sz val="8"/>
        <color theme="2" tint="-0.249977111117893"/>
        <rFont val="Arial"/>
        <family val="2"/>
      </rPr>
      <t>Merged with V1.05A in "Volume"</t>
    </r>
  </si>
  <si>
    <t>VDDQ_Tx</t>
  </si>
  <si>
    <t>0.6</t>
  </si>
  <si>
    <t>Copied from SKL</t>
  </si>
  <si>
    <t>ICL number</t>
  </si>
  <si>
    <t>NA</t>
  </si>
  <si>
    <t>1.05V</t>
  </si>
  <si>
    <t>1.05V, 0.7V</t>
  </si>
  <si>
    <t>U/Y</t>
  </si>
  <si>
    <t>H/U43/S</t>
  </si>
  <si>
    <t>8GB LPDDR4X 4267 MT/s</t>
  </si>
  <si>
    <t>Assumptions: ? ranks max for U/Y, ? ranks max for DT/Halo;</t>
  </si>
  <si>
    <t>Assumptions</t>
  </si>
  <si>
    <t>LPDDR4x only, CPU IO</t>
  </si>
  <si>
    <t>LPDDR4x only, DDR IO</t>
  </si>
  <si>
    <t>V1.05A (internal rail in PCH FIVR)</t>
  </si>
  <si>
    <t>VccSTG</t>
  </si>
  <si>
    <t>Load Description</t>
  </si>
  <si>
    <r>
      <t>ΔP</t>
    </r>
    <r>
      <rPr>
        <b/>
        <vertAlign val="subscript"/>
        <sz val="11"/>
        <color theme="1"/>
        <rFont val="Calibri"/>
        <family val="2"/>
        <scheme val="minor"/>
      </rPr>
      <t>STNDBY</t>
    </r>
    <r>
      <rPr>
        <b/>
        <sz val="12"/>
        <color theme="1"/>
        <rFont val="Calibri"/>
        <family val="2"/>
        <scheme val="minor"/>
      </rPr>
      <t>*</t>
    </r>
  </si>
  <si>
    <t>-</t>
  </si>
  <si>
    <t>Gated sustain voltage for processor standby modes</t>
  </si>
  <si>
    <t>Sustain voltage + VccPLL</t>
  </si>
  <si>
    <t>VccPLL_OC</t>
  </si>
  <si>
    <t>DRAM</t>
  </si>
  <si>
    <t>VCCRTC</t>
  </si>
  <si>
    <t>VDCDx_EDP</t>
  </si>
  <si>
    <t>eDP</t>
  </si>
  <si>
    <t>System Devices</t>
  </si>
  <si>
    <t>M.2</t>
  </si>
  <si>
    <t>SD Card</t>
  </si>
  <si>
    <t>WIFI/BT/GPS Radio</t>
  </si>
  <si>
    <t>HD Audio</t>
  </si>
  <si>
    <t>Embedded Controller</t>
  </si>
  <si>
    <t>Embedded Controller (eSPI)</t>
  </si>
  <si>
    <t>V5Dx_USBWP</t>
  </si>
  <si>
    <t>USB Walkup ports (2)</t>
  </si>
  <si>
    <t>Walkup Ports</t>
  </si>
  <si>
    <t>V1.8A_FLASH</t>
  </si>
  <si>
    <t>Misc components &amp; VRs</t>
  </si>
  <si>
    <t>Total</t>
  </si>
  <si>
    <t>3.3V Primary Well</t>
  </si>
  <si>
    <t>3.3V for Deep Sx Well</t>
  </si>
  <si>
    <t>1.8V Primary Well</t>
  </si>
  <si>
    <t>VCCPRIM_1P05 and other 1.05V Primary PCH loads</t>
  </si>
  <si>
    <t>PCH core</t>
  </si>
  <si>
    <t>PCH FIVR</t>
  </si>
  <si>
    <t>GPIO_WIRELESS</t>
  </si>
  <si>
    <t>Optional load switch</t>
  </si>
  <si>
    <t>ICL-H</t>
  </si>
  <si>
    <t>ICL-S</t>
  </si>
  <si>
    <r>
      <rPr>
        <b/>
        <sz val="14"/>
        <color theme="1"/>
        <rFont val="Calibri"/>
        <family val="2"/>
        <scheme val="minor"/>
      </rPr>
      <t>Ice Lake Platform Voltage Rails</t>
    </r>
    <r>
      <rPr>
        <sz val="14"/>
        <color theme="1"/>
        <rFont val="Calibri"/>
        <family val="2"/>
        <scheme val="minor"/>
      </rPr>
      <t xml:space="preserve"> </t>
    </r>
    <r>
      <rPr>
        <sz val="11"/>
        <color theme="1"/>
        <rFont val="Calibri"/>
        <family val="2"/>
        <scheme val="minor"/>
      </rPr>
      <t xml:space="preserve">- WIP - This document changes on a weekly basis.  Please contact Yifan Li for latest version. Silicon team numbers have priority over these. </t>
    </r>
    <r>
      <rPr>
        <b/>
        <sz val="12"/>
        <color rgb="FFFF0000"/>
        <rFont val="Calibri"/>
        <family val="2"/>
        <scheme val="minor"/>
      </rPr>
      <t>For Internal Intel Use Only - Not approved for external use</t>
    </r>
  </si>
  <si>
    <t>+/-5% &amp; overshoot to 2V</t>
  </si>
  <si>
    <t>2-bit VID (1.8V, 1.6V, 1.1V, 0V)</t>
  </si>
  <si>
    <t>CPU PL2/4 Config:</t>
  </si>
  <si>
    <t>Deep Sleep:</t>
  </si>
  <si>
    <t>Memory:</t>
  </si>
  <si>
    <t>PD Tier:</t>
  </si>
  <si>
    <t>VDD2</t>
  </si>
  <si>
    <t xml:space="preserve">LPDDR3 and LPDDR4 only:VDD1 </t>
  </si>
  <si>
    <t>ICL-YPremium</t>
  </si>
  <si>
    <t>ICL-YVolume</t>
  </si>
  <si>
    <t>ICL-UPremium</t>
  </si>
  <si>
    <t>ICL-UVolume</t>
  </si>
  <si>
    <t>ICL-U</t>
  </si>
  <si>
    <t>VDD1</t>
  </si>
  <si>
    <t>2.5V</t>
  </si>
  <si>
    <t>CS S0ix state?</t>
  </si>
  <si>
    <t>VCCA_CLKLDO_1P8</t>
  </si>
  <si>
    <t>CPU and PCH merged auxiliary FIVR</t>
  </si>
  <si>
    <t>VCC_V1P05EXT_1P05</t>
  </si>
  <si>
    <t>VCC_VNNEXT_1P05</t>
  </si>
  <si>
    <t>CPU_C10_GATE#</t>
  </si>
  <si>
    <t>Intel Confidential</t>
  </si>
  <si>
    <t>Additional Options:</t>
  </si>
  <si>
    <t>V1.8S_PLATFORM</t>
  </si>
  <si>
    <t>V5S_PLATFORM</t>
  </si>
  <si>
    <t>GPIO_AUDIO</t>
  </si>
  <si>
    <t>V1.8Dx_WIFI</t>
  </si>
  <si>
    <t>SLP_S0# &amp;&amp; SLP_S3#</t>
  </si>
  <si>
    <t>VccPLL</t>
  </si>
  <si>
    <r>
      <t>Icc</t>
    </r>
    <r>
      <rPr>
        <b/>
        <vertAlign val="subscript"/>
        <sz val="12"/>
        <color theme="1"/>
        <rFont val="Calibri"/>
        <family val="2"/>
        <scheme val="minor"/>
      </rPr>
      <t>Max</t>
    </r>
  </si>
  <si>
    <r>
      <t>I</t>
    </r>
    <r>
      <rPr>
        <b/>
        <vertAlign val="subscript"/>
        <sz val="12"/>
        <color theme="1"/>
        <rFont val="Calibri"/>
        <family val="2"/>
        <scheme val="minor"/>
      </rPr>
      <t>TDC</t>
    </r>
  </si>
  <si>
    <t>VccST</t>
  </si>
  <si>
    <t>ICL-Hpremium</t>
  </si>
  <si>
    <t>ICL-Hvolume</t>
  </si>
  <si>
    <t>Load Names</t>
  </si>
  <si>
    <t>HA 8+1 45W</t>
  </si>
  <si>
    <t>HA 8+1 65W</t>
  </si>
  <si>
    <t>HA 8+1 95W</t>
  </si>
  <si>
    <t>S 4+1 35W</t>
  </si>
  <si>
    <t>S 4+1 55W</t>
  </si>
  <si>
    <t>S 8+1 35W</t>
  </si>
  <si>
    <t>S 8+1 45W</t>
  </si>
  <si>
    <t>S 8+1 65W</t>
  </si>
  <si>
    <t>S 8+1 95W</t>
  </si>
  <si>
    <t xml:space="preserve"> FIVR input for IA, GT, GTx</t>
  </si>
  <si>
    <t>VCCIN_AUX_MERGE</t>
  </si>
  <si>
    <t>VCCIN_AUX_1P8</t>
  </si>
  <si>
    <t>Processor and PCH I/O power rails</t>
  </si>
  <si>
    <t>sustain Voltage for processor in standby</t>
  </si>
  <si>
    <t>PCH_CORE</t>
  </si>
  <si>
    <t>Type C sub-system (TCSS) and FIVR AnaloG Supply High (AGSH)</t>
  </si>
  <si>
    <t>1.8V Primary Well | GPIO and Thermal Sensor (PCH-LP only)</t>
  </si>
  <si>
    <t>Touchpad</t>
  </si>
  <si>
    <t>V1.8A_TOUCHPAD</t>
  </si>
  <si>
    <t>V1.8Dx_AUDIO</t>
  </si>
  <si>
    <t>GPIO_WIFI</t>
  </si>
  <si>
    <t>V1.8S_WIFI</t>
  </si>
  <si>
    <t>V1.8S_MODEM</t>
  </si>
  <si>
    <t>3.3V Primary Well (Merged SUS)</t>
  </si>
  <si>
    <t>V3.3S_LAN</t>
  </si>
  <si>
    <t>V3.3S_WIFI</t>
  </si>
  <si>
    <t>V3.3Dx_AUDIO</t>
  </si>
  <si>
    <t>V3.3S_SSD</t>
  </si>
  <si>
    <t>V3.3S_SDCARD</t>
  </si>
  <si>
    <t>V3.3S_MODEM</t>
  </si>
  <si>
    <t>V3.3Dx_MODEM</t>
  </si>
  <si>
    <t>GPIO_EDP</t>
  </si>
  <si>
    <t>V3.3S_EDP</t>
  </si>
  <si>
    <t>V3.3S_DPWP</t>
  </si>
  <si>
    <t>GPIO_CAMERA</t>
  </si>
  <si>
    <t>V3.3S_CAMERA</t>
  </si>
  <si>
    <t>GPIO_TSCREEN</t>
  </si>
  <si>
    <t>V3.3S_TOUCHSCREEN</t>
  </si>
  <si>
    <t>V3.3S_PCIEx16</t>
  </si>
  <si>
    <t>V3.3S_PCIEx4</t>
  </si>
  <si>
    <t>V3.3S_PCIEx1</t>
  </si>
  <si>
    <t>V5Dx_AUDIO</t>
  </si>
  <si>
    <t>SATA HDD/SSD power</t>
  </si>
  <si>
    <t>V5S_SATA</t>
  </si>
  <si>
    <t>GPIO_USBWP</t>
  </si>
  <si>
    <t>USB3 walkup ports</t>
  </si>
  <si>
    <t>V5S_USB3.1</t>
  </si>
  <si>
    <t>V5Dx_USB3WP</t>
  </si>
  <si>
    <t>USB2 walkup ports</t>
  </si>
  <si>
    <t>V5S_USB2.0</t>
  </si>
  <si>
    <t>V5Dx_USB2WP</t>
  </si>
  <si>
    <t>V5S_USB2/3_BC1.2</t>
  </si>
  <si>
    <t>V5S_USBC_CP</t>
  </si>
  <si>
    <t>GPIO_HDMI</t>
  </si>
  <si>
    <t>V5S_HDMIWP</t>
  </si>
  <si>
    <t>EC_FAN_EN</t>
  </si>
  <si>
    <t>V5S_FAN</t>
  </si>
  <si>
    <t>DRAM word line driver (DDR4 only)</t>
  </si>
  <si>
    <t>DRAM tracking termination voltage</t>
  </si>
  <si>
    <t>V12S</t>
  </si>
  <si>
    <t>V12S_PCIEx16</t>
  </si>
  <si>
    <t>V12S_PCIEX4</t>
  </si>
  <si>
    <t>V12S_PCIEX1</t>
  </si>
  <si>
    <t>V12S_SATA</t>
  </si>
  <si>
    <t>V12S_FAN (SYS)</t>
  </si>
  <si>
    <t>V12S_FAN (CPU)</t>
  </si>
  <si>
    <t>VccIO</t>
  </si>
  <si>
    <t>VccPRIM_1P8</t>
  </si>
  <si>
    <t>VccDSW_3P3</t>
  </si>
  <si>
    <t>VccPRIM_3P3</t>
  </si>
  <si>
    <t>VccIN (IMVP9) - IccMax / Performance</t>
  </si>
  <si>
    <t>VccIN (IMVP9) - ITDC / Performance</t>
  </si>
  <si>
    <t>UN 4+2 15W</t>
  </si>
  <si>
    <t>Vcc_V1P05Ext_1P05</t>
  </si>
  <si>
    <t>Vcc_VnnExt_1P05</t>
  </si>
  <si>
    <t xml:space="preserve">FIVR input </t>
  </si>
  <si>
    <t>V1.8Dx_MODEM</t>
  </si>
  <si>
    <t>VDDQ_Tx (CPU)</t>
  </si>
  <si>
    <t>TGL SKU:</t>
  </si>
  <si>
    <r>
      <rPr>
        <b/>
        <sz val="14"/>
        <color rgb="FF0070C0"/>
        <rFont val="Calibri"/>
        <family val="2"/>
        <scheme val="minor"/>
      </rPr>
      <t>TGL Power Map ---</t>
    </r>
    <r>
      <rPr>
        <b/>
        <sz val="14"/>
        <color rgb="FFFF0000"/>
        <rFont val="Calibri"/>
        <family val="2"/>
        <scheme val="minor"/>
      </rPr>
      <t xml:space="preserve"> Please defer to component EDS/datasheet for offical numbers. Non-Intel devices are current estimates.</t>
    </r>
  </si>
  <si>
    <t>VCCIN (IMVP9) - IccMax / Baseline</t>
  </si>
  <si>
    <t>VccIN (IMVP9) - ITDC / Baseline</t>
  </si>
  <si>
    <t>VccIN_AUX - IccMax / Performance &amp; Baseline</t>
  </si>
  <si>
    <t>VccIN_AUX - ITDC / Performance &amp; Baseline</t>
  </si>
  <si>
    <t>VccIN_AUX_MERGE - IccMax / Performance &amp; Baseline</t>
  </si>
  <si>
    <t>VccIN_AUX_MERGE - ITDC / Performance &amp; Baseline</t>
  </si>
  <si>
    <t>VccIN_AUX_1P8 - IccMax / Performance &amp; Baseline</t>
  </si>
  <si>
    <t>VccIN_AUX_1P8 - ITDC / Performance &amp; Baseline</t>
  </si>
  <si>
    <t>SoC Power Levels</t>
  </si>
  <si>
    <t>Package PL1(TDP):</t>
  </si>
  <si>
    <t>PL3:</t>
  </si>
  <si>
    <t>PL2:</t>
  </si>
  <si>
    <t>PL4:</t>
  </si>
  <si>
    <t xml:space="preserve">&lt;----Hover over PL value for a definiion </t>
  </si>
  <si>
    <t>PLx</t>
  </si>
  <si>
    <t>4+2</t>
  </si>
  <si>
    <t>Package</t>
  </si>
  <si>
    <t>Package PL1 (TDP) [W]</t>
  </si>
  <si>
    <t>SOC</t>
  </si>
  <si>
    <r>
      <t>PL2 (</t>
    </r>
    <r>
      <rPr>
        <b/>
        <sz val="16"/>
        <color rgb="FF00B050"/>
        <rFont val="Calibri"/>
        <family val="2"/>
        <scheme val="minor"/>
      </rPr>
      <t>Baseline</t>
    </r>
    <r>
      <rPr>
        <b/>
        <sz val="16"/>
        <color rgb="FF0070C0"/>
        <rFont val="Calibri"/>
        <family val="2"/>
        <scheme val="minor"/>
      </rPr>
      <t>) [W]</t>
    </r>
  </si>
  <si>
    <t>TGL-Y</t>
  </si>
  <si>
    <t>TGL-U</t>
  </si>
  <si>
    <r>
      <t>PL4 (</t>
    </r>
    <r>
      <rPr>
        <b/>
        <sz val="16"/>
        <color rgb="FF00B050"/>
        <rFont val="Calibri"/>
        <family val="2"/>
        <scheme val="minor"/>
      </rPr>
      <t>Baseline</t>
    </r>
    <r>
      <rPr>
        <b/>
        <sz val="16"/>
        <color rgb="FF0070C0"/>
        <rFont val="Calibri"/>
        <family val="2"/>
        <scheme val="minor"/>
      </rPr>
      <t>) [W]</t>
    </r>
  </si>
  <si>
    <r>
      <t>PL2 (</t>
    </r>
    <r>
      <rPr>
        <b/>
        <sz val="16"/>
        <color rgb="FFFF0000"/>
        <rFont val="Calibri"/>
        <family val="2"/>
        <scheme val="minor"/>
      </rPr>
      <t>Performance</t>
    </r>
    <r>
      <rPr>
        <b/>
        <sz val="16"/>
        <color rgb="FF0070C0"/>
        <rFont val="Calibri"/>
        <family val="2"/>
        <scheme val="minor"/>
      </rPr>
      <t>)[W]</t>
    </r>
  </si>
  <si>
    <r>
      <t>PL4 (</t>
    </r>
    <r>
      <rPr>
        <b/>
        <sz val="16"/>
        <color rgb="FFFF0000"/>
        <rFont val="Calibri"/>
        <family val="2"/>
        <scheme val="minor"/>
      </rPr>
      <t>Performance</t>
    </r>
    <r>
      <rPr>
        <b/>
        <sz val="16"/>
        <color rgb="FF0070C0"/>
        <rFont val="Calibri"/>
        <family val="2"/>
        <scheme val="minor"/>
      </rPr>
      <t>)[W]</t>
    </r>
  </si>
  <si>
    <t>V1.8U (VDD1)</t>
  </si>
  <si>
    <t>V2.5U (VDD1)</t>
  </si>
  <si>
    <t>VDD2_CPU</t>
  </si>
  <si>
    <t>VDD2_MEM</t>
  </si>
  <si>
    <t>VCCIN (IMVP9)</t>
  </si>
  <si>
    <t>V1P8A</t>
  </si>
  <si>
    <t>VCCSTG</t>
  </si>
  <si>
    <t>VCCST</t>
  </si>
  <si>
    <t>VCCDSW_3P3</t>
  </si>
  <si>
    <t>VCCPRIM_1P8</t>
  </si>
  <si>
    <t>VCCPRIM_3P3</t>
  </si>
  <si>
    <r>
      <t>PL3 (Pmax.App) (</t>
    </r>
    <r>
      <rPr>
        <b/>
        <sz val="16"/>
        <color rgb="FF00B050"/>
        <rFont val="Calibri"/>
        <family val="2"/>
        <scheme val="minor"/>
      </rPr>
      <t>Baseline</t>
    </r>
    <r>
      <rPr>
        <b/>
        <sz val="16"/>
        <color rgb="FF0070C0"/>
        <rFont val="Calibri"/>
        <family val="2"/>
        <scheme val="minor"/>
      </rPr>
      <t xml:space="preserve">) [W] 
</t>
    </r>
  </si>
  <si>
    <r>
      <t>PL3 (Pmax.App) (</t>
    </r>
    <r>
      <rPr>
        <b/>
        <sz val="16"/>
        <color rgb="FFFF0000"/>
        <rFont val="Calibri"/>
        <family val="2"/>
        <scheme val="minor"/>
      </rPr>
      <t>Performance</t>
    </r>
    <r>
      <rPr>
        <b/>
        <sz val="16"/>
        <color rgb="FF0070C0"/>
        <rFont val="Calibri"/>
        <family val="2"/>
        <scheme val="minor"/>
      </rPr>
      <t xml:space="preserve">) [W] 
</t>
    </r>
  </si>
  <si>
    <t>Baseline</t>
  </si>
  <si>
    <t>(Performance ----VCCIN_AUX) IPL2</t>
  </si>
  <si>
    <t>64GB DDR4 2933 MT/s</t>
  </si>
  <si>
    <t>8GB DDR4 2933 MT/s</t>
  </si>
  <si>
    <t>16GB DDR4 2933 MT/s</t>
  </si>
  <si>
    <t>32GB DDR4 2933 MT/s</t>
  </si>
  <si>
    <t>16GB LPDDR4X 4267 MT/s</t>
  </si>
  <si>
    <t>32GB LPDDR4X 4267 MT/s</t>
  </si>
  <si>
    <t>8GB LPDDR5 6400 MT/s</t>
  </si>
  <si>
    <t>16GB LPDDR5 6400 MT/s</t>
  </si>
  <si>
    <t>32GB LPDDR5 6400 MT/s</t>
  </si>
  <si>
    <t>CPU VDDQ, VDDQC +VCCPLL_OC</t>
  </si>
  <si>
    <t>DRAM Current Estimates (collected from Virendra Adsure)</t>
  </si>
  <si>
    <t>Deep Sleep Enabled</t>
  </si>
  <si>
    <t xml:space="preserve">UP4 4+2 9W </t>
  </si>
  <si>
    <t>UP3 4+2 15W cTDPd</t>
  </si>
  <si>
    <t>UP3 4+2 28W</t>
  </si>
  <si>
    <t>DDR4 only: VDD1</t>
  </si>
  <si>
    <t>DDR4 only: DRAM termination</t>
  </si>
  <si>
    <t>LPDDR4x and LPDDR5 only: DDR IO buffers</t>
  </si>
  <si>
    <r>
      <t>I</t>
    </r>
    <r>
      <rPr>
        <vertAlign val="subscript"/>
        <sz val="11"/>
        <color theme="1"/>
        <rFont val="Calibri"/>
        <family val="2"/>
        <scheme val="minor"/>
      </rPr>
      <t>TDC</t>
    </r>
  </si>
  <si>
    <t>2+2</t>
  </si>
  <si>
    <t>UP4 2+2 9W</t>
  </si>
  <si>
    <t>UP3 2+2 15W</t>
  </si>
  <si>
    <t>(Performance----VCCIN_AUX) Iccmax</t>
  </si>
  <si>
    <t>Performance</t>
  </si>
  <si>
    <t>TGL-HU3</t>
  </si>
  <si>
    <t>8GB DDR4 3200 MT/s</t>
  </si>
  <si>
    <t>16GB DDR4 3200 MT/s</t>
  </si>
  <si>
    <t>32GB DDR4 3200 MT/s</t>
  </si>
  <si>
    <t>64GB DDR4 3200 MT/s</t>
  </si>
  <si>
    <t>V3.3Dx_PLATFORM</t>
  </si>
  <si>
    <r>
      <rPr>
        <sz val="9"/>
        <color rgb="FFFF0000"/>
        <rFont val="Calibri"/>
        <family val="2"/>
        <scheme val="minor"/>
      </rPr>
      <t>Note</t>
    </r>
    <r>
      <rPr>
        <sz val="9"/>
        <color theme="1"/>
        <rFont val="Calibri"/>
        <family val="2"/>
        <scheme val="minor"/>
      </rPr>
      <t>: Use of a GPIO+BIOS control is also allowed; consult PDG.</t>
    </r>
  </si>
  <si>
    <t>H35 4+2 35W</t>
  </si>
  <si>
    <t xml:space="preserve">UP4-R 4+2 9W </t>
  </si>
  <si>
    <t>UP3-R 4+2 15W cTDPd</t>
  </si>
  <si>
    <t>UP3-R 4+2 28W</t>
  </si>
  <si>
    <t>Updated: 2020-August</t>
  </si>
  <si>
    <t>8GB LPDDR5 5400 MT/s</t>
  </si>
  <si>
    <t>16GB LPDDR5 5400 MT/s</t>
  </si>
  <si>
    <t>32GB LPDDR5 5400 MT/s</t>
  </si>
  <si>
    <t xml:space="preserve">You may not use or facilitate the use of this document in connection with any infringement or other legal analysis concerning Intel products described herein. You agree to grant Intel a non-exclusive, royalty-free license to any patent claim thereafter drafted which includes subject matter disclosed herein.
No license (express or implied, by estoppel or otherwise) to any intellectual property rights is granted by this document.
Intel technologies’ features and benefits depend on system configuration and may require enabled hardware, software or service activation. Performance varies depending on system configuration. No computer system can be absolutely secure. Check with your system manufacturer or retailer or learn more at intel.com.
Intel technologies may require enabled hardware, specific software, or services activation. Check with your system manufacturer or retailer.
The products described may contain design defects or errors known as errata which may cause the product to deviate from published specifications. Current characterized errata are available on request.
Intel disclaims all express and implied warranties, including without limitation, the implied warranties of merchantability, fitness for a particular purpose, and non-infringement, as well as any warranty arising from course of performance, course of dealing, or usage in trade.
All information provided here is subject to change without notice. Contact your Intel representative to obtain the latest Intel product specifications and roadmaps.
Copies of documents which have an order number and are referenced in this document may be obtained by calling 1-800-548-4725 or visit www.intel.com/design/literature.htm.
Intel, the Intel logo, are trademarks of Intel Corporation in the U.S. and/or other countries. 
*Other names and brands may be claimed as the property of others.
© 2020 Intel Corporation. All rights reserved.
</t>
  </si>
  <si>
    <r>
      <t>Revisi</t>
    </r>
    <r>
      <rPr>
        <b/>
        <sz val="10"/>
        <color indexed="8"/>
        <rFont val="Verdana"/>
        <family val="2"/>
      </rPr>
      <t>on 2.2</t>
    </r>
  </si>
  <si>
    <t>Document Number: 607872</t>
  </si>
  <si>
    <t>Tiger Lake UP3 UP4 UP3 Refresh Power 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</si>
</sst>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00"/>
    <numFmt numFmtId="165" formatCode="0.000\ &quot;V&quot;"/>
    <numFmt numFmtId="166" formatCode="0.##\ &quot;mA&quot;"/>
    <numFmt numFmtId="167" formatCode="0.00\ &quot;V&quot;"/>
    <numFmt numFmtId="168" formatCode="0.00\ &quot;A&quot;"/>
    <numFmt numFmtId="169" formatCode="0.00\ &quot;mA&quot;"/>
    <numFmt numFmtId="170" formatCode="0.00\ \V"/>
    <numFmt numFmtId="171" formatCode="0\ &quot;mΩ&quot;"/>
    <numFmt numFmtId="172" formatCode="0.000\ &quot;A&quot;"/>
    <numFmt numFmtId="173" formatCode="0.0"/>
    <numFmt numFmtId="174" formatCode="0.00000"/>
    <numFmt numFmtId="175" formatCode="0.000\ \A"/>
    <numFmt numFmtId="176" formatCode="0.000\ \m\A"/>
    <numFmt numFmtId="177" formatCode="0.000\ \V"/>
    <numFmt numFmtId="178" formatCode="0.00&quot; A&quot;"/>
    <numFmt numFmtId="179" formatCode="0.##\ &quot;mW&quot;"/>
    <numFmt numFmtId="180" formatCode="0.0\ &quot;mA&quot;"/>
    <numFmt numFmtId="181" formatCode="0.0\ &quot;V&quot;"/>
    <numFmt numFmtId="182" formatCode="00000"/>
    <numFmt numFmtId="183" formatCode="_([$€-2]* #,##0.00_);_([$€-2]* \(#,##0.00\);_([$€-2]* &quot;-&quot;??_)"/>
    <numFmt numFmtId="184" formatCode="0.0000\ &quot;A&quot;"/>
  </numFmts>
  <fonts count="10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9"/>
      <color theme="1"/>
      <name val="Calibri"/>
      <family val="2"/>
      <scheme val="minor"/>
    </font>
    <font>
      <b/>
      <sz val="9"/>
      <color rgb="FF0070C0"/>
      <name val="Calibri"/>
      <family val="2"/>
      <scheme val="minor"/>
    </font>
    <font>
      <sz val="12"/>
      <color theme="1"/>
      <name val="Calibri"/>
      <family val="2"/>
      <scheme val="minor"/>
    </font>
    <font>
      <sz val="10"/>
      <name val="Arial"/>
      <family val="2"/>
    </font>
    <font>
      <sz val="9"/>
      <name val="Calibri"/>
      <family val="2"/>
      <scheme val="minor"/>
    </font>
    <font>
      <b/>
      <sz val="14"/>
      <color theme="1"/>
      <name val="Calibri"/>
      <family val="2"/>
      <scheme val="minor"/>
    </font>
    <font>
      <sz val="14"/>
      <color theme="1"/>
      <name val="Calibri"/>
      <family val="2"/>
      <scheme val="minor"/>
    </font>
    <font>
      <vertAlign val="subscript"/>
      <sz val="11"/>
      <color theme="1"/>
      <name val="Calibri"/>
      <family val="2"/>
      <scheme val="minor"/>
    </font>
    <font>
      <b/>
      <sz val="11"/>
      <name val="Calibri"/>
      <family val="2"/>
      <scheme val="minor"/>
    </font>
    <font>
      <b/>
      <vertAlign val="subscript"/>
      <sz val="11"/>
      <color theme="1"/>
      <name val="Calibri"/>
      <family val="2"/>
      <scheme val="minor"/>
    </font>
    <font>
      <b/>
      <sz val="9"/>
      <color theme="1"/>
      <name val="Calibri"/>
      <family val="2"/>
      <scheme val="minor"/>
    </font>
    <font>
      <b/>
      <sz val="12"/>
      <name val="Calibri"/>
      <family val="2"/>
      <scheme val="minor"/>
    </font>
    <font>
      <b/>
      <sz val="9"/>
      <name val="Calibri"/>
      <family val="2"/>
      <scheme val="minor"/>
    </font>
    <font>
      <b/>
      <sz val="9"/>
      <color rgb="FF00B050"/>
      <name val="Calibri"/>
      <family val="2"/>
      <scheme val="minor"/>
    </font>
    <font>
      <sz val="9"/>
      <color theme="0" tint="-0.249977111117893"/>
      <name val="Calibri"/>
      <family val="2"/>
      <scheme val="minor"/>
    </font>
    <font>
      <b/>
      <sz val="9"/>
      <color rgb="FF1C1CF8"/>
      <name val="Calibri"/>
      <family val="2"/>
      <scheme val="minor"/>
    </font>
    <font>
      <sz val="11"/>
      <name val="Calibri"/>
      <family val="2"/>
      <scheme val="minor"/>
    </font>
    <font>
      <sz val="9"/>
      <color rgb="FF00B050"/>
      <name val="Calibri"/>
      <family val="2"/>
      <scheme val="minor"/>
    </font>
    <font>
      <b/>
      <sz val="9"/>
      <color theme="0"/>
      <name val="Calibri"/>
      <family val="2"/>
      <scheme val="minor"/>
    </font>
    <font>
      <b/>
      <sz val="9"/>
      <color rgb="FFFF0000"/>
      <name val="Calibri"/>
      <family val="2"/>
      <scheme val="minor"/>
    </font>
    <font>
      <sz val="9"/>
      <color theme="0"/>
      <name val="Calibri"/>
      <family val="2"/>
      <scheme val="minor"/>
    </font>
    <font>
      <sz val="9"/>
      <color rgb="FF9C0006"/>
      <name val="Calibri"/>
      <family val="2"/>
      <scheme val="minor"/>
    </font>
    <font>
      <strike/>
      <sz val="9"/>
      <color theme="1"/>
      <name val="Calibri"/>
      <family val="2"/>
      <scheme val="minor"/>
    </font>
    <font>
      <sz val="9"/>
      <color rgb="FFFF0000"/>
      <name val="Calibri"/>
      <family val="2"/>
      <scheme val="minor"/>
    </font>
    <font>
      <b/>
      <sz val="9"/>
      <color rgb="FF7030A0"/>
      <name val="Calibri"/>
      <family val="2"/>
      <scheme val="minor"/>
    </font>
    <font>
      <sz val="9"/>
      <color rgb="FFFF3300"/>
      <name val="Calibri"/>
      <family val="2"/>
      <scheme val="minor"/>
    </font>
    <font>
      <sz val="9"/>
      <name val="Arial"/>
      <family val="2"/>
    </font>
    <font>
      <sz val="9"/>
      <color rgb="FF000000"/>
      <name val="Calibri"/>
      <family val="2"/>
      <scheme val="minor"/>
    </font>
    <font>
      <b/>
      <sz val="12"/>
      <name val="Arial"/>
      <family val="2"/>
    </font>
    <font>
      <b/>
      <sz val="9"/>
      <name val="Arial"/>
      <family val="2"/>
    </font>
    <font>
      <b/>
      <sz val="9"/>
      <color theme="1"/>
      <name val="Arial"/>
      <family val="2"/>
    </font>
    <font>
      <sz val="12"/>
      <color rgb="FF000000"/>
      <name val="Calibri"/>
      <family val="2"/>
      <scheme val="minor"/>
    </font>
    <font>
      <sz val="9"/>
      <color theme="1"/>
      <name val="Arial"/>
      <family val="2"/>
    </font>
    <font>
      <sz val="9"/>
      <color indexed="81"/>
      <name val="Tahoma"/>
      <family val="2"/>
    </font>
    <font>
      <sz val="11"/>
      <color rgb="FF9C6500"/>
      <name val="Calibri"/>
      <family val="2"/>
      <scheme val="minor"/>
    </font>
    <font>
      <b/>
      <sz val="11"/>
      <color theme="0"/>
      <name val="Calibri"/>
      <family val="2"/>
      <scheme val="minor"/>
    </font>
    <font>
      <sz val="11"/>
      <color theme="0"/>
      <name val="Calibri"/>
      <family val="2"/>
      <scheme val="minor"/>
    </font>
    <font>
      <b/>
      <sz val="12"/>
      <color rgb="FFFF0000"/>
      <name val="Calibri"/>
      <family val="2"/>
      <scheme val="minor"/>
    </font>
    <font>
      <b/>
      <sz val="16"/>
      <color theme="0"/>
      <name val="Calibri"/>
      <family val="2"/>
      <scheme val="minor"/>
    </font>
    <font>
      <sz val="10"/>
      <color theme="1"/>
      <name val="Arial"/>
      <family val="2"/>
    </font>
    <font>
      <sz val="10"/>
      <name val="Candara"/>
      <family val="2"/>
    </font>
    <font>
      <sz val="9"/>
      <color rgb="FFFF0000"/>
      <name val="Candara"/>
      <family val="2"/>
    </font>
    <font>
      <i/>
      <sz val="10"/>
      <color rgb="FF061922"/>
      <name val="Arial"/>
      <family val="2"/>
    </font>
    <font>
      <b/>
      <sz val="10"/>
      <color rgb="FFFFFFFF"/>
      <name val="Arial"/>
      <family val="2"/>
    </font>
    <font>
      <b/>
      <sz val="12"/>
      <color rgb="FFFFFFFF"/>
      <name val="Arial"/>
      <family val="2"/>
    </font>
    <font>
      <b/>
      <i/>
      <sz val="11"/>
      <color rgb="FFFFFF00"/>
      <name val="Arial"/>
      <family val="2"/>
    </font>
    <font>
      <b/>
      <sz val="14"/>
      <color rgb="FFFF0000"/>
      <name val="Calibri"/>
      <family val="2"/>
      <scheme val="minor"/>
    </font>
    <font>
      <b/>
      <sz val="10"/>
      <color theme="0"/>
      <name val="Arial"/>
      <family val="2"/>
    </font>
    <font>
      <b/>
      <sz val="14"/>
      <color rgb="FFFFFFFF"/>
      <name val="Arial"/>
      <family val="2"/>
    </font>
    <font>
      <sz val="14"/>
      <color theme="1"/>
      <name val="Arial"/>
      <family val="2"/>
    </font>
    <font>
      <b/>
      <vertAlign val="subscript"/>
      <sz val="11"/>
      <color rgb="FFFFFFFF"/>
      <name val="Arial"/>
      <family val="2"/>
    </font>
    <font>
      <b/>
      <sz val="16"/>
      <color rgb="FFFF0066"/>
      <name val="Arial"/>
      <family val="2"/>
    </font>
    <font>
      <sz val="12"/>
      <name val="Candara"/>
      <family val="2"/>
    </font>
    <font>
      <b/>
      <i/>
      <sz val="10"/>
      <color rgb="FF061922"/>
      <name val="Arial"/>
      <family val="2"/>
    </font>
    <font>
      <sz val="10"/>
      <color rgb="FF061922"/>
      <name val="Arial"/>
      <family val="2"/>
    </font>
    <font>
      <i/>
      <sz val="12"/>
      <color rgb="FF061922"/>
      <name val="Candara"/>
      <family val="2"/>
    </font>
    <font>
      <i/>
      <sz val="12"/>
      <name val="Candara"/>
      <family val="2"/>
    </font>
    <font>
      <strike/>
      <sz val="12"/>
      <name val="Candara"/>
      <family val="2"/>
    </font>
    <font>
      <sz val="12"/>
      <color rgb="FF061922"/>
      <name val="Candara"/>
      <family val="2"/>
    </font>
    <font>
      <sz val="10"/>
      <color rgb="FF061922"/>
      <name val="Calibri"/>
      <family val="2"/>
    </font>
    <font>
      <sz val="12"/>
      <color rgb="FFFF0000"/>
      <name val="Candara"/>
      <family val="2"/>
    </font>
    <font>
      <sz val="11"/>
      <name val="Candara"/>
      <family val="2"/>
    </font>
    <font>
      <sz val="10"/>
      <color theme="8" tint="-0.249977111117893"/>
      <name val="Arial"/>
      <family val="2"/>
    </font>
    <font>
      <b/>
      <sz val="10"/>
      <color theme="1"/>
      <name val="Arial"/>
      <family val="2"/>
    </font>
    <font>
      <b/>
      <sz val="9"/>
      <color indexed="81"/>
      <name val="Tahoma"/>
      <family val="2"/>
    </font>
    <font>
      <sz val="10"/>
      <color theme="2" tint="-0.249977111117893"/>
      <name val="Arial"/>
      <family val="2"/>
    </font>
    <font>
      <i/>
      <sz val="8"/>
      <color theme="2" tint="-0.249977111117893"/>
      <name val="Arial"/>
      <family val="2"/>
    </font>
    <font>
      <sz val="9"/>
      <color theme="0" tint="-0.499984740745262"/>
      <name val="Calibri"/>
      <family val="2"/>
      <scheme val="minor"/>
    </font>
    <font>
      <b/>
      <sz val="10"/>
      <color indexed="81"/>
      <name val="Tahoma"/>
      <family val="2"/>
    </font>
    <font>
      <b/>
      <sz val="12"/>
      <color theme="1"/>
      <name val="Calibri"/>
      <family val="2"/>
      <scheme val="minor"/>
    </font>
    <font>
      <b/>
      <sz val="9"/>
      <color rgb="FF000000"/>
      <name val="Calibri"/>
      <family val="2"/>
      <scheme val="minor"/>
    </font>
    <font>
      <b/>
      <sz val="10"/>
      <name val="Arial"/>
      <family val="2"/>
    </font>
    <font>
      <i/>
      <sz val="12"/>
      <color theme="1"/>
      <name val="Candara"/>
      <family val="2"/>
    </font>
    <font>
      <sz val="10"/>
      <color indexed="81"/>
      <name val="Tahoma"/>
      <family val="2"/>
    </font>
    <font>
      <b/>
      <sz val="16"/>
      <color theme="0"/>
      <name val="Verdana"/>
      <family val="2"/>
    </font>
    <font>
      <b/>
      <sz val="16"/>
      <color indexed="10"/>
      <name val="Verdana"/>
      <family val="2"/>
    </font>
    <font>
      <b/>
      <sz val="10"/>
      <name val="Verdana"/>
      <family val="2"/>
    </font>
    <font>
      <b/>
      <sz val="10"/>
      <color indexed="8"/>
      <name val="Verdana"/>
      <family val="2"/>
    </font>
    <font>
      <b/>
      <sz val="9"/>
      <name val="Verdana"/>
      <family val="2"/>
    </font>
    <font>
      <b/>
      <sz val="14"/>
      <color rgb="FF0070C0"/>
      <name val="Calibri"/>
      <family val="2"/>
      <scheme val="minor"/>
    </font>
    <font>
      <b/>
      <u/>
      <sz val="12"/>
      <color rgb="FFFF0000"/>
      <name val="Calibri"/>
      <family val="2"/>
      <scheme val="minor"/>
    </font>
    <font>
      <sz val="10"/>
      <color rgb="FF006EB8"/>
      <name val="Calibri"/>
      <family val="2"/>
      <scheme val="minor"/>
    </font>
    <font>
      <b/>
      <vertAlign val="subscript"/>
      <sz val="12"/>
      <color theme="1"/>
      <name val="Calibri"/>
      <family val="2"/>
      <scheme val="minor"/>
    </font>
    <font>
      <sz val="12"/>
      <color theme="1"/>
      <name val="Times New Roman"/>
      <family val="1"/>
    </font>
    <font>
      <b/>
      <sz val="11"/>
      <color rgb="FFFF0000"/>
      <name val="Arial Black"/>
      <family val="2"/>
    </font>
    <font>
      <sz val="10"/>
      <color rgb="FFFF0000"/>
      <name val="Calibri"/>
      <family val="2"/>
      <scheme val="minor"/>
    </font>
    <font>
      <b/>
      <sz val="14"/>
      <color theme="1"/>
      <name val="Calibri Light"/>
      <family val="2"/>
      <scheme val="major"/>
    </font>
    <font>
      <b/>
      <sz val="24"/>
      <color theme="1"/>
      <name val="Calibri"/>
      <family val="2"/>
      <scheme val="minor"/>
    </font>
    <font>
      <sz val="16"/>
      <color theme="1"/>
      <name val="Calibri"/>
      <family val="2"/>
      <scheme val="minor"/>
    </font>
    <font>
      <b/>
      <sz val="16"/>
      <name val="Calibri"/>
      <family val="2"/>
      <scheme val="minor"/>
    </font>
    <font>
      <b/>
      <sz val="16"/>
      <color theme="1"/>
      <name val="Calibri"/>
      <family val="2"/>
      <scheme val="minor"/>
    </font>
    <font>
      <b/>
      <sz val="16"/>
      <color rgb="FF0070C0"/>
      <name val="Calibri"/>
      <family val="2"/>
      <scheme val="minor"/>
    </font>
    <font>
      <b/>
      <sz val="16"/>
      <color rgb="FF00B050"/>
      <name val="Calibri"/>
      <family val="2"/>
      <scheme val="minor"/>
    </font>
    <font>
      <b/>
      <sz val="16"/>
      <color rgb="FFFF0000"/>
      <name val="Calibri"/>
      <family val="2"/>
      <scheme val="minor"/>
    </font>
    <font>
      <sz val="10"/>
      <color rgb="FFFF0000"/>
      <name val="Arial"/>
      <family val="2"/>
    </font>
    <font>
      <sz val="8"/>
      <color rgb="FF000000"/>
      <name val="Segoe UI"/>
      <family val="2"/>
    </font>
    <font>
      <b/>
      <sz val="16"/>
      <color theme="9"/>
      <name val="Calibri"/>
      <family val="2"/>
      <scheme val="minor"/>
    </font>
  </fonts>
  <fills count="31">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CCFFCC"/>
        <bgColor indexed="64"/>
      </patternFill>
    </fill>
    <fill>
      <patternFill patternType="solid">
        <fgColor rgb="FFFF66FF"/>
        <bgColor indexed="64"/>
      </patternFill>
    </fill>
    <fill>
      <patternFill patternType="solid">
        <fgColor rgb="FFFFFFCC"/>
        <bgColor indexed="64"/>
      </patternFill>
    </fill>
    <fill>
      <patternFill patternType="solid">
        <fgColor rgb="FF3475CD"/>
        <bgColor indexed="64"/>
      </patternFill>
    </fill>
    <fill>
      <patternFill patternType="solid">
        <fgColor rgb="FF92D050"/>
        <bgColor indexed="64"/>
      </patternFill>
    </fill>
    <fill>
      <patternFill patternType="solid">
        <fgColor rgb="FFFFFF00"/>
        <bgColor indexed="64"/>
      </patternFill>
    </fill>
    <fill>
      <patternFill patternType="solid">
        <fgColor rgb="FFFFEB9C"/>
      </patternFill>
    </fill>
    <fill>
      <patternFill patternType="solid">
        <fgColor rgb="FF0070C0"/>
        <bgColor indexed="64"/>
      </patternFill>
    </fill>
    <fill>
      <patternFill patternType="solid">
        <fgColor rgb="FFFFFF66"/>
        <bgColor indexed="64"/>
      </patternFill>
    </fill>
    <fill>
      <patternFill patternType="solid">
        <fgColor rgb="FFFFCCCC"/>
        <bgColor indexed="64"/>
      </patternFill>
    </fill>
    <fill>
      <patternFill patternType="solid">
        <fgColor rgb="FF66CCFF"/>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9" tint="0.79998168889431442"/>
        <bgColor indexed="64"/>
      </patternFill>
    </fill>
    <fill>
      <patternFill patternType="solid">
        <fgColor rgb="FF0071C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1"/>
        <bgColor indexed="64"/>
      </patternFill>
    </fill>
    <fill>
      <patternFill patternType="solid">
        <fgColor theme="4"/>
        <bgColor indexed="64"/>
      </patternFill>
    </fill>
    <fill>
      <patternFill patternType="solid">
        <fgColor rgb="FF66FF33"/>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indexed="12"/>
        <bgColor indexed="64"/>
      </patternFill>
    </fill>
    <fill>
      <patternFill patternType="solid">
        <fgColor indexed="40"/>
        <bgColor indexed="64"/>
      </patternFill>
    </fill>
    <fill>
      <patternFill patternType="solid">
        <fgColor theme="5"/>
        <bgColor indexed="64"/>
      </patternFill>
    </fill>
    <fill>
      <patternFill patternType="solid">
        <fgColor theme="2"/>
        <bgColor indexed="64"/>
      </patternFill>
    </fill>
  </fills>
  <borders count="106">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right style="thin">
        <color auto="1"/>
      </right>
      <top style="thin">
        <color auto="1"/>
      </top>
      <bottom style="thin">
        <color auto="1"/>
      </bottom>
      <diagonal/>
    </border>
    <border>
      <left style="medium">
        <color indexed="64"/>
      </left>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indexed="64"/>
      </right>
      <top style="medium">
        <color indexed="64"/>
      </top>
      <bottom/>
      <diagonal/>
    </border>
    <border>
      <left/>
      <right/>
      <top style="medium">
        <color indexed="64"/>
      </top>
      <bottom/>
      <diagonal/>
    </border>
    <border>
      <left/>
      <right style="thin">
        <color auto="1"/>
      </right>
      <top/>
      <bottom/>
      <diagonal/>
    </border>
    <border>
      <left style="medium">
        <color indexed="64"/>
      </left>
      <right/>
      <top style="thin">
        <color indexed="64"/>
      </top>
      <bottom/>
      <diagonal/>
    </border>
    <border>
      <left/>
      <right/>
      <top style="thin">
        <color auto="1"/>
      </top>
      <bottom/>
      <diagonal/>
    </border>
    <border>
      <left/>
      <right style="medium">
        <color indexed="64"/>
      </right>
      <top style="thin">
        <color auto="1"/>
      </top>
      <bottom/>
      <diagonal/>
    </border>
    <border>
      <left style="medium">
        <color indexed="64"/>
      </left>
      <right/>
      <top/>
      <bottom style="thin">
        <color indexed="64"/>
      </bottom>
      <diagonal/>
    </border>
    <border>
      <left/>
      <right/>
      <top/>
      <bottom style="thin">
        <color auto="1"/>
      </bottom>
      <diagonal/>
    </border>
    <border>
      <left/>
      <right style="medium">
        <color indexed="64"/>
      </right>
      <top/>
      <bottom style="thin">
        <color auto="1"/>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mediumDashed">
        <color indexed="64"/>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thin">
        <color indexed="64"/>
      </left>
      <right style="mediumDashed">
        <color indexed="64"/>
      </right>
      <top style="mediumDashed">
        <color indexed="64"/>
      </top>
      <bottom style="mediumDashed">
        <color indexed="64"/>
      </bottom>
      <diagonal/>
    </border>
    <border>
      <left/>
      <right/>
      <top style="thin">
        <color auto="1"/>
      </top>
      <bottom style="thin">
        <color auto="1"/>
      </bottom>
      <diagonal/>
    </border>
    <border>
      <left style="thin">
        <color auto="1"/>
      </left>
      <right/>
      <top style="thin">
        <color auto="1"/>
      </top>
      <bottom/>
      <diagonal/>
    </border>
    <border>
      <left style="thin">
        <color auto="1"/>
      </left>
      <right/>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medium">
        <color indexed="64"/>
      </left>
      <right style="medium">
        <color indexed="64"/>
      </right>
      <top style="thin">
        <color indexed="64"/>
      </top>
      <bottom style="thin">
        <color indexed="64"/>
      </bottom>
      <diagonal/>
    </border>
    <border>
      <left style="medium">
        <color indexed="64"/>
      </left>
      <right style="medium">
        <color auto="1"/>
      </right>
      <top style="thin">
        <color indexed="64"/>
      </top>
      <bottom/>
      <diagonal/>
    </border>
    <border>
      <left style="medium">
        <color indexed="64"/>
      </left>
      <right style="medium">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hair">
        <color auto="1"/>
      </top>
      <bottom style="hair">
        <color auto="1"/>
      </bottom>
      <diagonal/>
    </border>
    <border>
      <left style="thin">
        <color auto="1"/>
      </left>
      <right style="thin">
        <color auto="1"/>
      </right>
      <top style="thin">
        <color auto="1"/>
      </top>
      <bottom style="hair">
        <color auto="1"/>
      </bottom>
      <diagonal/>
    </border>
    <border>
      <left/>
      <right style="thin">
        <color auto="1"/>
      </right>
      <top style="thin">
        <color auto="1"/>
      </top>
      <bottom style="hair">
        <color auto="1"/>
      </bottom>
      <diagonal/>
    </border>
    <border>
      <left style="thin">
        <color auto="1"/>
      </left>
      <right/>
      <top style="thin">
        <color auto="1"/>
      </top>
      <bottom style="hair">
        <color auto="1"/>
      </bottom>
      <diagonal/>
    </border>
    <border>
      <left style="medium">
        <color auto="1"/>
      </left>
      <right style="thin">
        <color auto="1"/>
      </right>
      <top style="thin">
        <color auto="1"/>
      </top>
      <bottom style="hair">
        <color auto="1"/>
      </bottom>
      <diagonal/>
    </border>
    <border>
      <left style="thin">
        <color auto="1"/>
      </left>
      <right style="medium">
        <color auto="1"/>
      </right>
      <top style="thin">
        <color auto="1"/>
      </top>
      <bottom style="hair">
        <color auto="1"/>
      </bottom>
      <diagonal/>
    </border>
    <border>
      <left style="medium">
        <color auto="1"/>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thin">
        <color auto="1"/>
      </left>
      <right/>
      <top style="hair">
        <color auto="1"/>
      </top>
      <bottom style="thin">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medium">
        <color auto="1"/>
      </right>
      <top style="hair">
        <color auto="1"/>
      </top>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style="thin">
        <color auto="1"/>
      </left>
      <right style="medium">
        <color auto="1"/>
      </right>
      <top style="hair">
        <color auto="1"/>
      </top>
      <bottom/>
      <diagonal/>
    </border>
    <border>
      <left style="medium">
        <color auto="1"/>
      </left>
      <right style="medium">
        <color auto="1"/>
      </right>
      <top/>
      <bottom style="hair">
        <color auto="1"/>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thin">
        <color auto="1"/>
      </left>
      <right/>
      <top/>
      <bottom style="hair">
        <color auto="1"/>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auto="1"/>
      </left>
      <right/>
      <top style="hair">
        <color auto="1"/>
      </top>
      <bottom/>
      <diagonal/>
    </border>
    <border>
      <left/>
      <right/>
      <top style="medium">
        <color indexed="64"/>
      </top>
      <bottom style="thin">
        <color auto="1"/>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right/>
      <top style="hair">
        <color auto="1"/>
      </top>
      <bottom/>
      <diagonal/>
    </border>
    <border>
      <left style="medium">
        <color auto="1"/>
      </left>
      <right/>
      <top style="hair">
        <color auto="1"/>
      </top>
      <bottom/>
      <diagonal/>
    </border>
    <border>
      <left style="medium">
        <color auto="1"/>
      </left>
      <right/>
      <top/>
      <bottom style="hair">
        <color auto="1"/>
      </bottom>
      <diagonal/>
    </border>
    <border>
      <left/>
      <right/>
      <top/>
      <bottom style="hair">
        <color auto="1"/>
      </bottom>
      <diagonal/>
    </border>
    <border>
      <left style="thin">
        <color auto="1"/>
      </left>
      <right/>
      <top style="medium">
        <color indexed="64"/>
      </top>
      <bottom/>
      <diagonal/>
    </border>
    <border>
      <left style="thin">
        <color indexed="64"/>
      </left>
      <right style="thin">
        <color indexed="64"/>
      </right>
      <top/>
      <bottom style="medium">
        <color indexed="64"/>
      </bottom>
      <diagonal/>
    </border>
    <border>
      <left/>
      <right style="medium">
        <color auto="1"/>
      </right>
      <top style="hair">
        <color auto="1"/>
      </top>
      <bottom/>
      <diagonal/>
    </border>
  </borders>
  <cellStyleXfs count="7">
    <xf numFmtId="0" fontId="0" fillId="0" borderId="0"/>
    <xf numFmtId="9" fontId="1" fillId="0" borderId="0" applyFont="0" applyFill="0" applyBorder="0" applyAlignment="0" applyProtection="0"/>
    <xf numFmtId="0" fontId="2" fillId="2" borderId="0" applyNumberFormat="0" applyBorder="0" applyAlignment="0" applyProtection="0"/>
    <xf numFmtId="0" fontId="7" fillId="0" borderId="0"/>
    <xf numFmtId="0" fontId="38" fillId="10" borderId="0" applyNumberFormat="0" applyBorder="0" applyAlignment="0" applyProtection="0"/>
    <xf numFmtId="183" fontId="7" fillId="0" borderId="0"/>
    <xf numFmtId="183" fontId="7" fillId="0" borderId="0"/>
  </cellStyleXfs>
  <cellXfs count="1373">
    <xf numFmtId="0" fontId="0" fillId="0" borderId="0" xfId="0"/>
    <xf numFmtId="0" fontId="4" fillId="3" borderId="0" xfId="0" applyFont="1" applyFill="1" applyAlignment="1" applyProtection="1">
      <protection hidden="1"/>
    </xf>
    <xf numFmtId="0" fontId="4" fillId="3" borderId="0" xfId="0" applyFont="1" applyFill="1" applyProtection="1">
      <protection hidden="1"/>
    </xf>
    <xf numFmtId="0" fontId="5" fillId="3" borderId="0" xfId="0" applyFont="1" applyFill="1" applyAlignment="1" applyProtection="1">
      <protection hidden="1"/>
    </xf>
    <xf numFmtId="0" fontId="5" fillId="3" borderId="0" xfId="0" applyNumberFormat="1" applyFont="1" applyFill="1" applyAlignment="1" applyProtection="1">
      <protection hidden="1"/>
    </xf>
    <xf numFmtId="0" fontId="6" fillId="3" borderId="0" xfId="0" applyFont="1" applyFill="1" applyProtection="1">
      <protection hidden="1"/>
    </xf>
    <xf numFmtId="0" fontId="4" fillId="0" borderId="0" xfId="0" applyFont="1" applyProtection="1">
      <protection hidden="1"/>
    </xf>
    <xf numFmtId="0" fontId="10" fillId="3" borderId="0" xfId="0" applyFont="1" applyFill="1" applyAlignment="1" applyProtection="1">
      <protection hidden="1"/>
    </xf>
    <xf numFmtId="0" fontId="9" fillId="3" borderId="0" xfId="0" applyFont="1" applyFill="1" applyBorder="1" applyAlignment="1" applyProtection="1">
      <alignment horizontal="center"/>
      <protection hidden="1"/>
    </xf>
    <xf numFmtId="0" fontId="4" fillId="3" borderId="0" xfId="0" applyFont="1" applyFill="1" applyAlignment="1" applyProtection="1">
      <alignment horizontal="center"/>
      <protection hidden="1"/>
    </xf>
    <xf numFmtId="0" fontId="4" fillId="3" borderId="2" xfId="0" applyFont="1" applyFill="1" applyBorder="1" applyAlignment="1" applyProtection="1">
      <alignment horizontal="center"/>
      <protection hidden="1"/>
    </xf>
    <xf numFmtId="0" fontId="0" fillId="3" borderId="3" xfId="0" applyFont="1" applyFill="1" applyBorder="1" applyAlignment="1" applyProtection="1">
      <protection hidden="1"/>
    </xf>
    <xf numFmtId="0" fontId="0" fillId="3" borderId="4" xfId="0" applyNumberFormat="1" applyFont="1" applyFill="1" applyBorder="1" applyAlignment="1" applyProtection="1">
      <alignment horizontal="center"/>
      <protection hidden="1"/>
    </xf>
    <xf numFmtId="0" fontId="0" fillId="3" borderId="4" xfId="0" applyFont="1" applyFill="1" applyBorder="1" applyAlignment="1" applyProtection="1">
      <alignment horizontal="center"/>
      <protection hidden="1"/>
    </xf>
    <xf numFmtId="0" fontId="0" fillId="3" borderId="5" xfId="0" applyFont="1" applyFill="1" applyBorder="1" applyAlignment="1" applyProtection="1">
      <alignment horizontal="center"/>
      <protection hidden="1"/>
    </xf>
    <xf numFmtId="0" fontId="0" fillId="3" borderId="0" xfId="0" applyFont="1" applyFill="1" applyAlignment="1" applyProtection="1">
      <protection hidden="1"/>
    </xf>
    <xf numFmtId="0" fontId="4" fillId="3" borderId="0" xfId="0" applyFont="1" applyFill="1" applyBorder="1" applyAlignment="1" applyProtection="1">
      <protection hidden="1"/>
    </xf>
    <xf numFmtId="0" fontId="4" fillId="3" borderId="0" xfId="0" applyNumberFormat="1" applyFont="1" applyFill="1" applyBorder="1" applyAlignment="1" applyProtection="1">
      <alignment horizontal="center"/>
      <protection hidden="1"/>
    </xf>
    <xf numFmtId="0" fontId="4" fillId="3" borderId="0" xfId="0" applyFont="1" applyFill="1" applyBorder="1" applyAlignment="1" applyProtection="1">
      <alignment horizontal="center"/>
      <protection hidden="1"/>
    </xf>
    <xf numFmtId="165" fontId="4" fillId="3" borderId="0" xfId="0" applyNumberFormat="1" applyFont="1" applyFill="1" applyBorder="1" applyAlignment="1" applyProtection="1">
      <alignment horizontal="center"/>
      <protection hidden="1"/>
    </xf>
    <xf numFmtId="0" fontId="4" fillId="3" borderId="16" xfId="0" applyNumberFormat="1" applyFont="1" applyFill="1" applyBorder="1" applyAlignment="1" applyProtection="1">
      <alignment horizontal="center"/>
      <protection hidden="1"/>
    </xf>
    <xf numFmtId="0" fontId="4" fillId="3" borderId="17" xfId="0" applyFont="1" applyFill="1" applyBorder="1" applyAlignment="1" applyProtection="1">
      <alignment horizontal="center"/>
      <protection hidden="1"/>
    </xf>
    <xf numFmtId="168" fontId="14" fillId="3" borderId="17" xfId="0" applyNumberFormat="1" applyFont="1" applyFill="1" applyBorder="1" applyAlignment="1" applyProtection="1">
      <alignment horizontal="center"/>
      <protection hidden="1"/>
    </xf>
    <xf numFmtId="167" fontId="4" fillId="3" borderId="0" xfId="0" quotePrefix="1" applyNumberFormat="1" applyFont="1" applyFill="1" applyBorder="1" applyAlignment="1" applyProtection="1">
      <alignment horizontal="center"/>
      <protection hidden="1"/>
    </xf>
    <xf numFmtId="169" fontId="4" fillId="3" borderId="0" xfId="0" applyNumberFormat="1" applyFont="1" applyFill="1" applyBorder="1" applyAlignment="1" applyProtection="1">
      <alignment horizontal="center"/>
      <protection hidden="1"/>
    </xf>
    <xf numFmtId="0" fontId="4" fillId="3" borderId="15" xfId="0" applyFont="1" applyFill="1" applyBorder="1" applyAlignment="1" applyProtection="1">
      <protection hidden="1"/>
    </xf>
    <xf numFmtId="0" fontId="4" fillId="3" borderId="0" xfId="0" applyFont="1" applyFill="1" applyBorder="1" applyAlignment="1" applyProtection="1">
      <alignment vertical="center"/>
      <protection hidden="1"/>
    </xf>
    <xf numFmtId="167" fontId="14" fillId="3" borderId="0" xfId="0" quotePrefix="1" applyNumberFormat="1" applyFont="1" applyFill="1" applyBorder="1" applyAlignment="1" applyProtection="1">
      <alignment horizontal="left"/>
      <protection hidden="1"/>
    </xf>
    <xf numFmtId="168" fontId="14" fillId="3" borderId="0" xfId="0" applyNumberFormat="1" applyFont="1" applyFill="1" applyBorder="1" applyAlignment="1" applyProtection="1">
      <alignment horizontal="center"/>
      <protection hidden="1"/>
    </xf>
    <xf numFmtId="170" fontId="16" fillId="3" borderId="0" xfId="0" applyNumberFormat="1" applyFont="1" applyFill="1" applyBorder="1" applyAlignment="1" applyProtection="1">
      <alignment horizontal="left" vertical="top"/>
      <protection hidden="1"/>
    </xf>
    <xf numFmtId="0" fontId="8" fillId="3" borderId="0" xfId="0" applyNumberFormat="1" applyFont="1" applyFill="1" applyBorder="1" applyAlignment="1" applyProtection="1">
      <alignment horizontal="center"/>
      <protection hidden="1"/>
    </xf>
    <xf numFmtId="167" fontId="14" fillId="3" borderId="0" xfId="0" applyNumberFormat="1" applyFont="1" applyFill="1" applyBorder="1" applyAlignment="1" applyProtection="1">
      <alignment horizontal="center"/>
      <protection hidden="1"/>
    </xf>
    <xf numFmtId="168" fontId="4" fillId="3" borderId="0" xfId="0" applyNumberFormat="1" applyFont="1" applyFill="1" applyBorder="1" applyAlignment="1" applyProtection="1">
      <alignment horizontal="center"/>
      <protection hidden="1"/>
    </xf>
    <xf numFmtId="0" fontId="8" fillId="3" borderId="0" xfId="0" applyFont="1" applyFill="1" applyBorder="1" applyAlignment="1" applyProtection="1">
      <protection hidden="1"/>
    </xf>
    <xf numFmtId="170" fontId="16" fillId="3" borderId="17" xfId="0" applyNumberFormat="1" applyFont="1" applyFill="1" applyBorder="1" applyAlignment="1" applyProtection="1">
      <alignment horizontal="center"/>
      <protection hidden="1"/>
    </xf>
    <xf numFmtId="0" fontId="0" fillId="3" borderId="0" xfId="0" applyFill="1" applyBorder="1"/>
    <xf numFmtId="0" fontId="19" fillId="3" borderId="0" xfId="0" applyFont="1" applyFill="1" applyBorder="1" applyAlignment="1" applyProtection="1">
      <protection hidden="1"/>
    </xf>
    <xf numFmtId="168" fontId="19" fillId="3" borderId="0" xfId="0" applyNumberFormat="1" applyFont="1" applyFill="1" applyBorder="1" applyAlignment="1" applyProtection="1">
      <alignment horizontal="center"/>
      <protection hidden="1"/>
    </xf>
    <xf numFmtId="166" fontId="19" fillId="3" borderId="0" xfId="0" applyNumberFormat="1" applyFont="1" applyFill="1" applyBorder="1" applyAlignment="1" applyProtection="1">
      <alignment horizontal="center"/>
      <protection hidden="1"/>
    </xf>
    <xf numFmtId="170" fontId="16" fillId="3" borderId="7" xfId="0" applyNumberFormat="1" applyFont="1" applyFill="1" applyBorder="1" applyAlignment="1" applyProtection="1">
      <alignment horizontal="center"/>
      <protection hidden="1"/>
    </xf>
    <xf numFmtId="0" fontId="18" fillId="3" borderId="0" xfId="0" applyFont="1" applyFill="1" applyBorder="1" applyAlignment="1" applyProtection="1">
      <protection hidden="1"/>
    </xf>
    <xf numFmtId="0" fontId="18" fillId="3" borderId="0" xfId="0" applyNumberFormat="1" applyFont="1" applyFill="1" applyBorder="1" applyAlignment="1" applyProtection="1">
      <alignment horizontal="center"/>
      <protection hidden="1"/>
    </xf>
    <xf numFmtId="167" fontId="18" fillId="3" borderId="0" xfId="0" applyNumberFormat="1" applyFont="1" applyFill="1" applyBorder="1" applyAlignment="1" applyProtection="1">
      <alignment horizontal="center"/>
      <protection hidden="1"/>
    </xf>
    <xf numFmtId="168" fontId="18" fillId="3" borderId="0" xfId="0" applyNumberFormat="1" applyFont="1" applyFill="1" applyBorder="1" applyAlignment="1" applyProtection="1">
      <alignment horizontal="center"/>
      <protection hidden="1"/>
    </xf>
    <xf numFmtId="170" fontId="16" fillId="3" borderId="10" xfId="0" applyNumberFormat="1" applyFont="1" applyFill="1" applyBorder="1" applyAlignment="1" applyProtection="1">
      <alignment horizontal="center"/>
      <protection hidden="1"/>
    </xf>
    <xf numFmtId="170" fontId="16" fillId="3" borderId="27" xfId="0" applyNumberFormat="1" applyFont="1" applyFill="1" applyBorder="1" applyAlignment="1" applyProtection="1">
      <alignment horizontal="center"/>
      <protection hidden="1"/>
    </xf>
    <xf numFmtId="0" fontId="14" fillId="3" borderId="23" xfId="3" applyFont="1" applyFill="1" applyBorder="1" applyAlignment="1" applyProtection="1">
      <alignment horizontal="left" vertical="center"/>
      <protection hidden="1"/>
    </xf>
    <xf numFmtId="0" fontId="8" fillId="3" borderId="0" xfId="3" applyFont="1" applyFill="1" applyBorder="1" applyAlignment="1" applyProtection="1">
      <alignment horizontal="left" vertical="center" wrapText="1"/>
      <protection hidden="1"/>
    </xf>
    <xf numFmtId="0" fontId="8" fillId="3" borderId="0" xfId="0" applyFont="1" applyFill="1" applyProtection="1">
      <protection hidden="1"/>
    </xf>
    <xf numFmtId="0" fontId="4" fillId="3" borderId="0" xfId="0" applyFont="1" applyFill="1" applyProtection="1">
      <protection locked="0" hidden="1"/>
    </xf>
    <xf numFmtId="0" fontId="24" fillId="7" borderId="15" xfId="0" applyFont="1" applyFill="1" applyBorder="1" applyAlignment="1" applyProtection="1">
      <protection hidden="1"/>
    </xf>
    <xf numFmtId="167" fontId="14" fillId="3" borderId="17" xfId="0" quotePrefix="1" applyNumberFormat="1" applyFont="1" applyFill="1" applyBorder="1" applyAlignment="1" applyProtection="1">
      <alignment horizontal="center"/>
      <protection hidden="1"/>
    </xf>
    <xf numFmtId="0" fontId="15" fillId="3" borderId="0" xfId="3" applyFont="1" applyFill="1" applyBorder="1" applyAlignment="1" applyProtection="1">
      <alignment vertical="center" textRotation="180"/>
      <protection hidden="1"/>
    </xf>
    <xf numFmtId="0" fontId="18" fillId="3" borderId="0" xfId="0" applyFont="1" applyFill="1" applyBorder="1" applyAlignment="1" applyProtection="1">
      <alignment horizontal="center"/>
      <protection hidden="1"/>
    </xf>
    <xf numFmtId="0" fontId="4" fillId="3" borderId="35" xfId="0" applyFont="1" applyFill="1" applyBorder="1" applyAlignment="1" applyProtection="1">
      <alignment horizontal="center"/>
      <protection hidden="1"/>
    </xf>
    <xf numFmtId="0" fontId="4" fillId="3" borderId="9" xfId="0" applyFont="1" applyFill="1" applyBorder="1" applyAlignment="1" applyProtection="1">
      <protection hidden="1"/>
    </xf>
    <xf numFmtId="49" fontId="8" fillId="3" borderId="0" xfId="3" applyNumberFormat="1" applyFont="1" applyFill="1" applyBorder="1" applyAlignment="1" applyProtection="1">
      <alignment horizontal="left" vertical="center" wrapText="1"/>
      <protection hidden="1"/>
    </xf>
    <xf numFmtId="0" fontId="24" fillId="3" borderId="0" xfId="0" applyFont="1" applyFill="1" applyBorder="1" applyAlignment="1" applyProtection="1">
      <protection hidden="1"/>
    </xf>
    <xf numFmtId="166" fontId="14" fillId="3" borderId="0" xfId="0" applyNumberFormat="1" applyFont="1" applyFill="1" applyBorder="1" applyAlignment="1" applyProtection="1">
      <alignment horizontal="center"/>
      <protection hidden="1"/>
    </xf>
    <xf numFmtId="0" fontId="4" fillId="3" borderId="36" xfId="0" applyFont="1" applyFill="1" applyBorder="1" applyAlignment="1" applyProtection="1">
      <protection hidden="1"/>
    </xf>
    <xf numFmtId="49" fontId="19" fillId="3" borderId="0" xfId="0" applyNumberFormat="1" applyFont="1" applyFill="1" applyBorder="1" applyAlignment="1" applyProtection="1">
      <alignment horizontal="center"/>
      <protection hidden="1"/>
    </xf>
    <xf numFmtId="167" fontId="19" fillId="3" borderId="0" xfId="0" quotePrefix="1" applyNumberFormat="1" applyFont="1" applyFill="1" applyBorder="1" applyAlignment="1" applyProtection="1">
      <alignment horizontal="center"/>
      <protection hidden="1"/>
    </xf>
    <xf numFmtId="171" fontId="19" fillId="3" borderId="0" xfId="0" applyNumberFormat="1" applyFont="1" applyFill="1" applyBorder="1" applyAlignment="1" applyProtection="1">
      <alignment horizontal="center"/>
      <protection hidden="1"/>
    </xf>
    <xf numFmtId="167" fontId="16" fillId="3" borderId="0" xfId="0" applyNumberFormat="1" applyFont="1" applyFill="1" applyBorder="1" applyAlignment="1" applyProtection="1">
      <alignment horizontal="center"/>
      <protection hidden="1"/>
    </xf>
    <xf numFmtId="168" fontId="17" fillId="3" borderId="0" xfId="0" applyNumberFormat="1" applyFont="1" applyFill="1" applyBorder="1" applyAlignment="1" applyProtection="1">
      <alignment horizontal="center"/>
      <protection locked="0" hidden="1"/>
    </xf>
    <xf numFmtId="0" fontId="4" fillId="3" borderId="0" xfId="0" applyFont="1" applyFill="1" applyAlignment="1" applyProtection="1">
      <alignment horizontal="left"/>
      <protection hidden="1"/>
    </xf>
    <xf numFmtId="167" fontId="14" fillId="3" borderId="0" xfId="0" quotePrefix="1" applyNumberFormat="1" applyFont="1" applyFill="1" applyBorder="1" applyAlignment="1" applyProtection="1">
      <alignment horizontal="center"/>
      <protection hidden="1"/>
    </xf>
    <xf numFmtId="170" fontId="16" fillId="3" borderId="0" xfId="0" applyNumberFormat="1" applyFont="1" applyFill="1" applyBorder="1" applyAlignment="1" applyProtection="1">
      <alignment horizontal="center"/>
      <protection hidden="1"/>
    </xf>
    <xf numFmtId="0" fontId="8" fillId="3" borderId="16" xfId="2" applyNumberFormat="1" applyFont="1" applyFill="1" applyBorder="1" applyAlignment="1" applyProtection="1">
      <alignment horizontal="center"/>
      <protection hidden="1"/>
    </xf>
    <xf numFmtId="0" fontId="4" fillId="3" borderId="35" xfId="0" applyFont="1" applyFill="1" applyBorder="1" applyAlignment="1" applyProtection="1">
      <protection hidden="1"/>
    </xf>
    <xf numFmtId="167" fontId="14" fillId="3" borderId="35" xfId="0" quotePrefix="1" applyNumberFormat="1" applyFont="1" applyFill="1" applyBorder="1" applyAlignment="1" applyProtection="1">
      <alignment horizontal="center"/>
      <protection hidden="1"/>
    </xf>
    <xf numFmtId="168" fontId="14" fillId="3" borderId="35" xfId="0" applyNumberFormat="1" applyFont="1" applyFill="1" applyBorder="1" applyAlignment="1" applyProtection="1">
      <alignment horizontal="center"/>
      <protection hidden="1"/>
    </xf>
    <xf numFmtId="0" fontId="8" fillId="3" borderId="0" xfId="0" applyFont="1" applyFill="1" applyAlignment="1" applyProtection="1">
      <protection hidden="1"/>
    </xf>
    <xf numFmtId="0" fontId="25" fillId="3" borderId="0" xfId="2" applyNumberFormat="1" applyFont="1" applyFill="1" applyBorder="1" applyAlignment="1" applyProtection="1">
      <alignment horizontal="center"/>
      <protection hidden="1"/>
    </xf>
    <xf numFmtId="168" fontId="4" fillId="3" borderId="0" xfId="0" applyNumberFormat="1" applyFont="1" applyFill="1" applyBorder="1" applyAlignment="1" applyProtection="1">
      <protection hidden="1"/>
    </xf>
    <xf numFmtId="0" fontId="4" fillId="3" borderId="6" xfId="0" applyFont="1" applyFill="1" applyBorder="1" applyAlignment="1" applyProtection="1">
      <protection hidden="1"/>
    </xf>
    <xf numFmtId="0" fontId="26" fillId="3" borderId="0" xfId="0" applyFont="1" applyFill="1" applyAlignment="1" applyProtection="1">
      <protection hidden="1"/>
    </xf>
    <xf numFmtId="0" fontId="4" fillId="3" borderId="0" xfId="0" applyNumberFormat="1" applyFont="1" applyFill="1" applyAlignment="1" applyProtection="1">
      <alignment horizontal="center"/>
      <protection hidden="1"/>
    </xf>
    <xf numFmtId="168" fontId="4" fillId="3" borderId="0" xfId="0" applyNumberFormat="1" applyFont="1" applyFill="1" applyAlignment="1" applyProtection="1">
      <protection hidden="1"/>
    </xf>
    <xf numFmtId="0" fontId="4" fillId="3" borderId="0" xfId="0" applyFont="1" applyFill="1" applyBorder="1" applyProtection="1">
      <protection hidden="1"/>
    </xf>
    <xf numFmtId="167" fontId="18" fillId="3" borderId="0" xfId="0" quotePrefix="1" applyNumberFormat="1" applyFont="1" applyFill="1" applyBorder="1" applyAlignment="1" applyProtection="1">
      <alignment horizontal="center"/>
      <protection hidden="1"/>
    </xf>
    <xf numFmtId="171" fontId="4" fillId="3" borderId="0" xfId="0" applyNumberFormat="1" applyFont="1" applyFill="1" applyBorder="1" applyAlignment="1" applyProtection="1">
      <alignment horizontal="center"/>
      <protection hidden="1"/>
    </xf>
    <xf numFmtId="0" fontId="28" fillId="3" borderId="0" xfId="0" applyNumberFormat="1" applyFont="1" applyFill="1" applyBorder="1" applyAlignment="1" applyProtection="1">
      <alignment horizontal="center"/>
      <protection hidden="1"/>
    </xf>
    <xf numFmtId="0" fontId="29" fillId="3" borderId="0" xfId="0" applyFont="1" applyFill="1" applyBorder="1" applyAlignment="1" applyProtection="1">
      <alignment horizontal="center" vertical="center"/>
      <protection hidden="1"/>
    </xf>
    <xf numFmtId="168" fontId="29" fillId="3" borderId="0" xfId="0" applyNumberFormat="1" applyFont="1" applyFill="1" applyBorder="1" applyAlignment="1" applyProtection="1">
      <alignment horizontal="center" vertical="center"/>
      <protection hidden="1"/>
    </xf>
    <xf numFmtId="49" fontId="4" fillId="3" borderId="9" xfId="0" applyNumberFormat="1" applyFont="1" applyFill="1" applyBorder="1" applyAlignment="1" applyProtection="1">
      <protection hidden="1"/>
    </xf>
    <xf numFmtId="0" fontId="4" fillId="3" borderId="0" xfId="3" applyFont="1" applyFill="1" applyBorder="1" applyAlignment="1" applyProtection="1">
      <alignment horizontal="left" vertical="center" wrapText="1"/>
      <protection hidden="1"/>
    </xf>
    <xf numFmtId="0" fontId="16" fillId="3" borderId="0" xfId="0" applyNumberFormat="1" applyFont="1" applyFill="1" applyBorder="1" applyAlignment="1" applyProtection="1">
      <protection hidden="1"/>
    </xf>
    <xf numFmtId="167" fontId="8" fillId="3" borderId="0" xfId="0" applyNumberFormat="1" applyFont="1" applyFill="1" applyBorder="1" applyAlignment="1" applyProtection="1">
      <alignment horizontal="center"/>
      <protection hidden="1"/>
    </xf>
    <xf numFmtId="168" fontId="21" fillId="3" borderId="0" xfId="0" applyNumberFormat="1" applyFont="1" applyFill="1" applyBorder="1" applyAlignment="1" applyProtection="1">
      <alignment horizontal="center"/>
      <protection locked="0" hidden="1"/>
    </xf>
    <xf numFmtId="0" fontId="4" fillId="3" borderId="0" xfId="0" applyFont="1" applyFill="1" applyAlignment="1" applyProtection="1">
      <alignment horizontal="center" wrapText="1"/>
      <protection hidden="1"/>
    </xf>
    <xf numFmtId="168" fontId="4" fillId="3" borderId="6" xfId="0" applyNumberFormat="1" applyFont="1" applyFill="1" applyBorder="1" applyAlignment="1" applyProtection="1">
      <alignment horizontal="left"/>
      <protection hidden="1"/>
    </xf>
    <xf numFmtId="0" fontId="27" fillId="3" borderId="0" xfId="0" applyNumberFormat="1" applyFont="1" applyFill="1" applyAlignment="1" applyProtection="1">
      <alignment horizontal="center"/>
      <protection hidden="1"/>
    </xf>
    <xf numFmtId="168" fontId="4" fillId="3" borderId="9" xfId="0" applyNumberFormat="1" applyFont="1" applyFill="1" applyBorder="1" applyAlignment="1" applyProtection="1">
      <alignment horizontal="left"/>
      <protection hidden="1"/>
    </xf>
    <xf numFmtId="0" fontId="4" fillId="3" borderId="0" xfId="0" applyNumberFormat="1" applyFont="1" applyFill="1" applyProtection="1">
      <protection hidden="1"/>
    </xf>
    <xf numFmtId="168" fontId="4" fillId="3" borderId="0" xfId="0" applyNumberFormat="1" applyFont="1" applyFill="1" applyProtection="1">
      <protection hidden="1"/>
    </xf>
    <xf numFmtId="0" fontId="16" fillId="3" borderId="23" xfId="3" applyFont="1" applyFill="1" applyBorder="1" applyAlignment="1" applyProtection="1">
      <alignment horizontal="left" vertical="center"/>
      <protection hidden="1"/>
    </xf>
    <xf numFmtId="0" fontId="14" fillId="3" borderId="48" xfId="0" applyFont="1" applyFill="1" applyBorder="1" applyAlignment="1" applyProtection="1">
      <alignment horizontal="center"/>
      <protection hidden="1"/>
    </xf>
    <xf numFmtId="0" fontId="14" fillId="3" borderId="35" xfId="0" applyFont="1" applyFill="1" applyBorder="1" applyAlignment="1" applyProtection="1">
      <alignment horizontal="center"/>
      <protection hidden="1"/>
    </xf>
    <xf numFmtId="0" fontId="14" fillId="3" borderId="35" xfId="0" applyFont="1" applyFill="1" applyBorder="1" applyAlignment="1" applyProtection="1">
      <alignment horizontal="left"/>
      <protection hidden="1"/>
    </xf>
    <xf numFmtId="0" fontId="4" fillId="3" borderId="34" xfId="0" applyNumberFormat="1" applyFont="1" applyFill="1" applyBorder="1" applyAlignment="1" applyProtection="1">
      <protection hidden="1"/>
    </xf>
    <xf numFmtId="0" fontId="28" fillId="3" borderId="0" xfId="0" applyNumberFormat="1" applyFont="1" applyFill="1" applyAlignment="1" applyProtection="1">
      <alignment horizontal="center"/>
      <protection hidden="1"/>
    </xf>
    <xf numFmtId="0" fontId="4" fillId="3" borderId="23" xfId="0" applyFont="1" applyFill="1" applyBorder="1" applyAlignment="1" applyProtection="1">
      <alignment horizontal="center" vertical="center"/>
      <protection hidden="1"/>
    </xf>
    <xf numFmtId="0" fontId="4" fillId="3" borderId="0" xfId="0" applyFont="1" applyFill="1" applyBorder="1" applyAlignment="1" applyProtection="1">
      <alignment horizontal="center" vertical="center"/>
      <protection hidden="1"/>
    </xf>
    <xf numFmtId="0" fontId="4" fillId="3" borderId="0" xfId="0" applyFont="1" applyFill="1" applyBorder="1" applyAlignment="1" applyProtection="1">
      <alignment horizontal="left"/>
      <protection hidden="1"/>
    </xf>
    <xf numFmtId="0" fontId="8" fillId="3" borderId="13" xfId="0" applyNumberFormat="1" applyFont="1" applyFill="1" applyBorder="1" applyAlignment="1" applyProtection="1">
      <protection hidden="1"/>
    </xf>
    <xf numFmtId="168" fontId="4" fillId="3" borderId="26" xfId="0" applyNumberFormat="1" applyFont="1" applyFill="1" applyBorder="1" applyAlignment="1" applyProtection="1">
      <alignment horizontal="left"/>
      <protection hidden="1"/>
    </xf>
    <xf numFmtId="165" fontId="4" fillId="3" borderId="0" xfId="0" applyNumberFormat="1" applyFont="1" applyFill="1" applyProtection="1">
      <protection hidden="1"/>
    </xf>
    <xf numFmtId="168" fontId="21" fillId="3" borderId="0" xfId="0" applyNumberFormat="1" applyFont="1" applyFill="1" applyProtection="1">
      <protection locked="0" hidden="1"/>
    </xf>
    <xf numFmtId="0" fontId="4" fillId="3" borderId="43" xfId="0" applyFont="1" applyFill="1" applyBorder="1" applyAlignment="1" applyProtection="1">
      <alignment horizontal="center" vertical="center"/>
      <protection hidden="1"/>
    </xf>
    <xf numFmtId="0" fontId="4" fillId="3" borderId="1" xfId="0" applyFont="1" applyFill="1" applyBorder="1" applyAlignment="1" applyProtection="1">
      <alignment horizontal="center" vertical="center"/>
      <protection hidden="1"/>
    </xf>
    <xf numFmtId="0" fontId="4" fillId="3" borderId="1" xfId="0" applyFont="1" applyFill="1" applyBorder="1" applyAlignment="1" applyProtection="1">
      <alignment horizontal="left"/>
      <protection hidden="1"/>
    </xf>
    <xf numFmtId="0" fontId="8" fillId="3" borderId="44" xfId="0" applyNumberFormat="1" applyFont="1" applyFill="1" applyBorder="1" applyAlignment="1" applyProtection="1">
      <protection hidden="1"/>
    </xf>
    <xf numFmtId="165" fontId="4" fillId="3" borderId="0" xfId="0" applyNumberFormat="1" applyFont="1" applyFill="1" applyAlignment="1" applyProtection="1">
      <protection hidden="1"/>
    </xf>
    <xf numFmtId="0" fontId="4" fillId="3" borderId="0" xfId="0" applyNumberFormat="1" applyFont="1" applyFill="1" applyBorder="1" applyProtection="1">
      <protection hidden="1"/>
    </xf>
    <xf numFmtId="168" fontId="4" fillId="3" borderId="0" xfId="0" applyNumberFormat="1" applyFont="1" applyFill="1" applyBorder="1" applyProtection="1">
      <protection hidden="1"/>
    </xf>
    <xf numFmtId="165" fontId="4" fillId="3" borderId="0" xfId="0" applyNumberFormat="1" applyFont="1" applyFill="1" applyBorder="1" applyProtection="1">
      <protection hidden="1"/>
    </xf>
    <xf numFmtId="0" fontId="8" fillId="3" borderId="0" xfId="0" applyFont="1" applyFill="1" applyBorder="1" applyProtection="1">
      <protection hidden="1"/>
    </xf>
    <xf numFmtId="168" fontId="4" fillId="3" borderId="0" xfId="0" applyNumberFormat="1" applyFont="1" applyFill="1" applyBorder="1" applyProtection="1">
      <protection locked="0" hidden="1"/>
    </xf>
    <xf numFmtId="168" fontId="4" fillId="3" borderId="15" xfId="0" applyNumberFormat="1" applyFont="1" applyFill="1" applyBorder="1" applyAlignment="1" applyProtection="1">
      <alignment horizontal="left"/>
      <protection hidden="1"/>
    </xf>
    <xf numFmtId="0" fontId="8" fillId="3" borderId="0" xfId="3" applyFont="1" applyFill="1" applyBorder="1" applyAlignment="1" applyProtection="1">
      <alignment vertical="center" wrapText="1"/>
      <protection hidden="1"/>
    </xf>
    <xf numFmtId="0" fontId="14" fillId="3" borderId="0" xfId="0" applyFont="1" applyFill="1" applyBorder="1" applyAlignment="1" applyProtection="1">
      <alignment horizontal="center" vertical="center"/>
      <protection hidden="1"/>
    </xf>
    <xf numFmtId="0" fontId="22" fillId="3" borderId="0" xfId="0" applyFont="1" applyFill="1" applyBorder="1" applyAlignment="1" applyProtection="1">
      <alignment horizontal="center" vertical="center"/>
      <protection hidden="1"/>
    </xf>
    <xf numFmtId="0" fontId="8" fillId="3" borderId="0" xfId="0" applyNumberFormat="1" applyFont="1" applyFill="1" applyBorder="1" applyProtection="1">
      <protection hidden="1"/>
    </xf>
    <xf numFmtId="0" fontId="32" fillId="3" borderId="0" xfId="3" applyFont="1" applyFill="1" applyBorder="1" applyAlignment="1" applyProtection="1">
      <alignment vertical="center" textRotation="180"/>
      <protection hidden="1"/>
    </xf>
    <xf numFmtId="0" fontId="6" fillId="3" borderId="0" xfId="0" applyFont="1" applyFill="1" applyBorder="1" applyProtection="1">
      <protection hidden="1"/>
    </xf>
    <xf numFmtId="167" fontId="14" fillId="3" borderId="50" xfId="0" quotePrefix="1" applyNumberFormat="1" applyFont="1" applyFill="1" applyBorder="1" applyAlignment="1" applyProtection="1">
      <alignment horizontal="center"/>
      <protection hidden="1"/>
    </xf>
    <xf numFmtId="168" fontId="14" fillId="3" borderId="50" xfId="0" applyNumberFormat="1" applyFont="1" applyFill="1" applyBorder="1" applyAlignment="1" applyProtection="1">
      <alignment horizontal="center"/>
      <protection hidden="1"/>
    </xf>
    <xf numFmtId="0" fontId="0" fillId="3" borderId="0" xfId="0" applyFill="1"/>
    <xf numFmtId="0" fontId="22" fillId="7" borderId="15" xfId="0" applyFont="1" applyFill="1" applyBorder="1" applyAlignment="1" applyProtection="1">
      <protection hidden="1"/>
    </xf>
    <xf numFmtId="0" fontId="16" fillId="3" borderId="16" xfId="2" applyNumberFormat="1" applyFont="1" applyFill="1" applyBorder="1" applyAlignment="1" applyProtection="1">
      <alignment horizontal="center"/>
      <protection hidden="1"/>
    </xf>
    <xf numFmtId="0" fontId="16" fillId="3" borderId="17" xfId="0" applyFont="1" applyFill="1" applyBorder="1" applyAlignment="1" applyProtection="1">
      <alignment horizontal="center"/>
      <protection hidden="1"/>
    </xf>
    <xf numFmtId="167" fontId="16" fillId="3" borderId="17" xfId="0" applyNumberFormat="1" applyFont="1" applyFill="1" applyBorder="1" applyAlignment="1" applyProtection="1">
      <alignment horizontal="center"/>
      <protection hidden="1"/>
    </xf>
    <xf numFmtId="0" fontId="0" fillId="3" borderId="0" xfId="0" applyFill="1" applyAlignment="1">
      <alignment horizontal="center" vertical="center"/>
    </xf>
    <xf numFmtId="0" fontId="0" fillId="0" borderId="0" xfId="0" applyBorder="1"/>
    <xf numFmtId="0" fontId="0" fillId="0" borderId="0" xfId="0" applyAlignment="1">
      <alignment horizontal="center"/>
    </xf>
    <xf numFmtId="0" fontId="10" fillId="3" borderId="0" xfId="0" applyFont="1" applyFill="1" applyAlignment="1">
      <alignment wrapText="1"/>
    </xf>
    <xf numFmtId="0" fontId="10" fillId="3" borderId="0" xfId="0" applyFont="1" applyFill="1" applyAlignment="1"/>
    <xf numFmtId="0" fontId="10" fillId="3" borderId="0" xfId="0" applyFont="1" applyFill="1" applyAlignment="1">
      <alignment horizontal="left"/>
    </xf>
    <xf numFmtId="0" fontId="43" fillId="0" borderId="0" xfId="0" applyFont="1" applyAlignment="1">
      <alignment horizontal="center" vertical="center"/>
    </xf>
    <xf numFmtId="164" fontId="44" fillId="4" borderId="15" xfId="4" applyNumberFormat="1" applyFont="1" applyFill="1" applyBorder="1" applyAlignment="1">
      <alignment horizontal="center" vertical="center" wrapText="1" readingOrder="1"/>
    </xf>
    <xf numFmtId="164" fontId="44" fillId="12" borderId="17" xfId="4" applyNumberFormat="1" applyFont="1" applyFill="1" applyBorder="1" applyAlignment="1">
      <alignment horizontal="center" vertical="center" wrapText="1" readingOrder="1"/>
    </xf>
    <xf numFmtId="164" fontId="44" fillId="13" borderId="17" xfId="4" applyNumberFormat="1" applyFont="1" applyFill="1" applyBorder="1" applyAlignment="1">
      <alignment horizontal="center" vertical="center" wrapText="1" readingOrder="1"/>
    </xf>
    <xf numFmtId="164" fontId="44" fillId="14" borderId="17" xfId="4" applyNumberFormat="1" applyFont="1" applyFill="1" applyBorder="1" applyAlignment="1">
      <alignment horizontal="center" vertical="center" wrapText="1" readingOrder="1"/>
    </xf>
    <xf numFmtId="164" fontId="44" fillId="3" borderId="17" xfId="4" applyNumberFormat="1" applyFont="1" applyFill="1" applyBorder="1" applyAlignment="1">
      <alignment horizontal="center" vertical="center" wrapText="1" readingOrder="1"/>
    </xf>
    <xf numFmtId="164" fontId="45" fillId="3" borderId="17" xfId="4" applyNumberFormat="1" applyFont="1" applyFill="1" applyBorder="1" applyAlignment="1">
      <alignment horizontal="center" vertical="center" wrapText="1" readingOrder="1"/>
    </xf>
    <xf numFmtId="164" fontId="44" fillId="15" borderId="17" xfId="4" applyNumberFormat="1" applyFont="1" applyFill="1" applyBorder="1" applyAlignment="1">
      <alignment horizontal="center" vertical="center" wrapText="1" readingOrder="1"/>
    </xf>
    <xf numFmtId="49" fontId="46" fillId="16" borderId="17" xfId="0" applyNumberFormat="1" applyFont="1" applyFill="1" applyBorder="1" applyAlignment="1">
      <alignment horizontal="center" vertical="center" wrapText="1" readingOrder="1"/>
    </xf>
    <xf numFmtId="0" fontId="7" fillId="17" borderId="19" xfId="0" quotePrefix="1" applyFont="1" applyFill="1" applyBorder="1" applyAlignment="1">
      <alignment horizontal="center" vertical="center" wrapText="1" readingOrder="1"/>
    </xf>
    <xf numFmtId="0" fontId="47" fillId="3" borderId="0" xfId="0" quotePrefix="1" applyFont="1" applyFill="1" applyBorder="1" applyAlignment="1">
      <alignment vertical="center" wrapText="1" readingOrder="1"/>
    </xf>
    <xf numFmtId="0" fontId="0" fillId="3" borderId="0" xfId="0" applyFill="1" applyBorder="1" applyAlignment="1">
      <alignment horizontal="center" vertical="center"/>
    </xf>
    <xf numFmtId="0" fontId="48" fillId="3" borderId="0" xfId="0" applyFont="1" applyFill="1" applyBorder="1" applyAlignment="1">
      <alignment horizontal="center" vertical="center" wrapText="1" readingOrder="1"/>
    </xf>
    <xf numFmtId="0" fontId="48" fillId="3" borderId="0" xfId="0" applyFont="1" applyFill="1" applyBorder="1" applyAlignment="1">
      <alignment vertical="center" wrapText="1" readingOrder="1"/>
    </xf>
    <xf numFmtId="0" fontId="0" fillId="0" borderId="0" xfId="0" applyAlignment="1">
      <alignment horizontal="left"/>
    </xf>
    <xf numFmtId="0" fontId="50" fillId="3" borderId="0" xfId="0" applyFont="1" applyFill="1" applyAlignment="1">
      <alignment horizontal="left"/>
    </xf>
    <xf numFmtId="0" fontId="9" fillId="3" borderId="0" xfId="0" applyFont="1" applyFill="1" applyAlignment="1">
      <alignment horizontal="left"/>
    </xf>
    <xf numFmtId="0" fontId="43" fillId="0" borderId="0" xfId="0" applyFont="1"/>
    <xf numFmtId="0" fontId="43" fillId="3" borderId="0" xfId="0" applyFont="1" applyFill="1"/>
    <xf numFmtId="0" fontId="43" fillId="3" borderId="0" xfId="0" applyFont="1" applyFill="1" applyBorder="1" applyAlignment="1">
      <alignment horizontal="center"/>
    </xf>
    <xf numFmtId="0" fontId="43" fillId="3" borderId="0" xfId="0" applyFont="1" applyFill="1" applyBorder="1"/>
    <xf numFmtId="0" fontId="0" fillId="0" borderId="0" xfId="0" applyAlignment="1">
      <alignment horizontal="center" vertical="center"/>
    </xf>
    <xf numFmtId="0" fontId="47" fillId="18" borderId="10" xfId="0" applyFont="1" applyFill="1" applyBorder="1" applyAlignment="1">
      <alignment horizontal="center" wrapText="1" readingOrder="1"/>
    </xf>
    <xf numFmtId="0" fontId="47" fillId="15" borderId="10" xfId="0" applyFont="1" applyFill="1" applyBorder="1" applyAlignment="1">
      <alignment horizontal="center" wrapText="1" readingOrder="1"/>
    </xf>
    <xf numFmtId="0" fontId="47" fillId="3" borderId="58" xfId="0" applyFont="1" applyFill="1" applyBorder="1" applyAlignment="1">
      <alignment vertical="center" wrapText="1" readingOrder="1"/>
    </xf>
    <xf numFmtId="0" fontId="43" fillId="3" borderId="58" xfId="0" applyFont="1" applyFill="1" applyBorder="1"/>
    <xf numFmtId="0" fontId="53" fillId="3" borderId="58" xfId="0" applyFont="1" applyFill="1" applyBorder="1"/>
    <xf numFmtId="0" fontId="52" fillId="18" borderId="33" xfId="0" applyFont="1" applyFill="1" applyBorder="1" applyAlignment="1">
      <alignment horizontal="center" wrapText="1" readingOrder="1"/>
    </xf>
    <xf numFmtId="0" fontId="47" fillId="15" borderId="33" xfId="0" applyFont="1" applyFill="1" applyBorder="1" applyAlignment="1">
      <alignment horizontal="center" wrapText="1" readingOrder="1"/>
    </xf>
    <xf numFmtId="0" fontId="47" fillId="18" borderId="0" xfId="0" applyFont="1" applyFill="1" applyBorder="1" applyAlignment="1">
      <alignment horizontal="center" vertical="center" wrapText="1" readingOrder="1"/>
    </xf>
    <xf numFmtId="0" fontId="47" fillId="18" borderId="11" xfId="0" applyFont="1" applyFill="1" applyBorder="1" applyAlignment="1">
      <alignment horizontal="center" vertical="center" wrapText="1" readingOrder="1"/>
    </xf>
    <xf numFmtId="0" fontId="47" fillId="18" borderId="10" xfId="0" applyFont="1" applyFill="1" applyBorder="1" applyAlignment="1">
      <alignment horizontal="center" vertical="top" wrapText="1" readingOrder="1"/>
    </xf>
    <xf numFmtId="0" fontId="47" fillId="18" borderId="6" xfId="0" quotePrefix="1" applyFont="1" applyFill="1" applyBorder="1" applyAlignment="1">
      <alignment horizontal="center" vertical="center" wrapText="1" readingOrder="1"/>
    </xf>
    <xf numFmtId="0" fontId="47" fillId="18" borderId="7" xfId="0" quotePrefix="1" applyFont="1" applyFill="1" applyBorder="1" applyAlignment="1">
      <alignment horizontal="center" vertical="center" wrapText="1" readingOrder="1"/>
    </xf>
    <xf numFmtId="0" fontId="47" fillId="18" borderId="24" xfId="0" quotePrefix="1" applyFont="1" applyFill="1" applyBorder="1" applyAlignment="1">
      <alignment horizontal="center" vertical="center" wrapText="1" readingOrder="1"/>
    </xf>
    <xf numFmtId="0" fontId="47" fillId="19" borderId="10" xfId="0" applyFont="1" applyFill="1" applyBorder="1" applyAlignment="1">
      <alignment horizontal="center" vertical="center" wrapText="1" readingOrder="1"/>
    </xf>
    <xf numFmtId="0" fontId="47" fillId="15" borderId="10" xfId="0" applyFont="1" applyFill="1" applyBorder="1" applyAlignment="1">
      <alignment horizontal="center" vertical="center" wrapText="1" readingOrder="1"/>
    </xf>
    <xf numFmtId="0" fontId="47" fillId="3" borderId="58" xfId="0" applyFont="1" applyFill="1" applyBorder="1" applyAlignment="1">
      <alignment horizontal="center" vertical="center" wrapText="1" readingOrder="1"/>
    </xf>
    <xf numFmtId="0" fontId="47" fillId="18" borderId="59" xfId="0" applyFont="1" applyFill="1" applyBorder="1" applyAlignment="1">
      <alignment horizontal="center" vertical="center" wrapText="1" readingOrder="1"/>
    </xf>
    <xf numFmtId="0" fontId="7" fillId="3" borderId="0" xfId="0" applyFont="1" applyFill="1"/>
    <xf numFmtId="0" fontId="7" fillId="3" borderId="10" xfId="0" applyFont="1" applyFill="1" applyBorder="1" applyAlignment="1">
      <alignment horizontal="center" vertical="center" wrapText="1" readingOrder="1"/>
    </xf>
    <xf numFmtId="49" fontId="7" fillId="0" borderId="10" xfId="0" applyNumberFormat="1" applyFont="1" applyFill="1" applyBorder="1" applyAlignment="1">
      <alignment horizontal="center" vertical="center" wrapText="1" readingOrder="1"/>
    </xf>
    <xf numFmtId="49" fontId="7" fillId="0" borderId="10" xfId="0" applyNumberFormat="1" applyFont="1" applyFill="1" applyBorder="1" applyAlignment="1">
      <alignment horizontal="left" vertical="center" wrapText="1" readingOrder="1"/>
    </xf>
    <xf numFmtId="49" fontId="7" fillId="0" borderId="11" xfId="0" applyNumberFormat="1" applyFont="1" applyFill="1" applyBorder="1" applyAlignment="1">
      <alignment horizontal="left" vertical="center" wrapText="1" readingOrder="1"/>
    </xf>
    <xf numFmtId="49" fontId="7" fillId="15" borderId="11" xfId="0" applyNumberFormat="1" applyFont="1" applyFill="1" applyBorder="1" applyAlignment="1">
      <alignment horizontal="center" vertical="center" wrapText="1" readingOrder="1"/>
    </xf>
    <xf numFmtId="0" fontId="7" fillId="3" borderId="10" xfId="0" applyFont="1" applyFill="1" applyBorder="1" applyAlignment="1">
      <alignment horizontal="center" vertical="top" wrapText="1" readingOrder="1"/>
    </xf>
    <xf numFmtId="49" fontId="56" fillId="15" borderId="9" xfId="0" applyNumberFormat="1" applyFont="1" applyFill="1" applyBorder="1" applyAlignment="1">
      <alignment horizontal="center" vertical="center" wrapText="1" readingOrder="1"/>
    </xf>
    <xf numFmtId="164" fontId="56" fillId="12" borderId="58" xfId="0" quotePrefix="1" applyNumberFormat="1" applyFont="1" applyFill="1" applyBorder="1" applyAlignment="1">
      <alignment horizontal="center" vertical="center" wrapText="1" readingOrder="1"/>
    </xf>
    <xf numFmtId="164" fontId="56" fillId="12" borderId="60" xfId="0" quotePrefix="1" applyNumberFormat="1" applyFont="1" applyFill="1" applyBorder="1" applyAlignment="1">
      <alignment horizontal="center" vertical="center" wrapText="1" readingOrder="1"/>
    </xf>
    <xf numFmtId="164" fontId="56" fillId="15" borderId="9" xfId="0" applyNumberFormat="1" applyFont="1" applyFill="1" applyBorder="1" applyAlignment="1">
      <alignment horizontal="center" vertical="center" wrapText="1" readingOrder="1"/>
    </xf>
    <xf numFmtId="164" fontId="56" fillId="12" borderId="61" xfId="0" quotePrefix="1" applyNumberFormat="1" applyFont="1" applyFill="1" applyBorder="1" applyAlignment="1">
      <alignment horizontal="center" vertical="center" wrapText="1" readingOrder="1"/>
    </xf>
    <xf numFmtId="0" fontId="7" fillId="3" borderId="0" xfId="0" applyFont="1" applyFill="1" applyBorder="1"/>
    <xf numFmtId="49" fontId="57" fillId="15" borderId="10" xfId="0" applyNumberFormat="1" applyFont="1" applyFill="1" applyBorder="1" applyAlignment="1">
      <alignment horizontal="center" vertical="center" readingOrder="1"/>
    </xf>
    <xf numFmtId="49" fontId="58" fillId="15" borderId="10" xfId="0" applyNumberFormat="1" applyFont="1" applyFill="1" applyBorder="1" applyAlignment="1">
      <alignment horizontal="center" vertical="center" wrapText="1" readingOrder="1"/>
    </xf>
    <xf numFmtId="0" fontId="7" fillId="3" borderId="59" xfId="0" applyFont="1" applyFill="1" applyBorder="1" applyAlignment="1">
      <alignment horizontal="center" vertical="center" wrapText="1" readingOrder="1"/>
    </xf>
    <xf numFmtId="0" fontId="7" fillId="3" borderId="58" xfId="0" applyFont="1" applyFill="1" applyBorder="1"/>
    <xf numFmtId="0" fontId="20" fillId="3" borderId="0" xfId="0" applyFont="1" applyFill="1"/>
    <xf numFmtId="0" fontId="58" fillId="0" borderId="10" xfId="0" applyNumberFormat="1" applyFont="1" applyFill="1" applyBorder="1" applyAlignment="1">
      <alignment horizontal="center" vertical="center" wrapText="1" readingOrder="1"/>
    </xf>
    <xf numFmtId="49" fontId="59" fillId="16" borderId="62" xfId="0" applyNumberFormat="1" applyFont="1" applyFill="1" applyBorder="1" applyAlignment="1">
      <alignment horizontal="center" vertical="center" readingOrder="1"/>
    </xf>
    <xf numFmtId="164" fontId="56" fillId="12" borderId="9" xfId="4" applyNumberFormat="1" applyFont="1" applyFill="1" applyBorder="1" applyAlignment="1">
      <alignment horizontal="center" vertical="center" wrapText="1" readingOrder="1"/>
    </xf>
    <xf numFmtId="49" fontId="59" fillId="16" borderId="10" xfId="0" applyNumberFormat="1" applyFont="1" applyFill="1" applyBorder="1" applyAlignment="1">
      <alignment horizontal="center" vertical="center" readingOrder="1"/>
    </xf>
    <xf numFmtId="49" fontId="59" fillId="16" borderId="9" xfId="0" applyNumberFormat="1" applyFont="1" applyFill="1" applyBorder="1" applyAlignment="1">
      <alignment horizontal="center" vertical="center" readingOrder="1"/>
    </xf>
    <xf numFmtId="49" fontId="59" fillId="16" borderId="12" xfId="0" applyNumberFormat="1" applyFont="1" applyFill="1" applyBorder="1" applyAlignment="1">
      <alignment horizontal="center" vertical="center" readingOrder="1"/>
    </xf>
    <xf numFmtId="49" fontId="60" fillId="16" borderId="12" xfId="0" applyNumberFormat="1" applyFont="1" applyFill="1" applyBorder="1" applyAlignment="1">
      <alignment horizontal="center" vertical="center" readingOrder="1"/>
    </xf>
    <xf numFmtId="49" fontId="60" fillId="16" borderId="9" xfId="0" applyNumberFormat="1" applyFont="1" applyFill="1" applyBorder="1" applyAlignment="1">
      <alignment horizontal="center" vertical="center" readingOrder="1"/>
    </xf>
    <xf numFmtId="49" fontId="60" fillId="16" borderId="10" xfId="0" applyNumberFormat="1" applyFont="1" applyFill="1" applyBorder="1" applyAlignment="1">
      <alignment horizontal="center" vertical="center" readingOrder="1"/>
    </xf>
    <xf numFmtId="49" fontId="58" fillId="19" borderId="10" xfId="0" applyNumberFormat="1" applyFont="1" applyFill="1" applyBorder="1" applyAlignment="1">
      <alignment horizontal="center" vertical="center" wrapText="1" readingOrder="1"/>
    </xf>
    <xf numFmtId="0" fontId="43" fillId="3" borderId="58" xfId="0" applyFont="1" applyFill="1" applyBorder="1" applyAlignment="1">
      <alignment horizontal="center" vertical="center"/>
    </xf>
    <xf numFmtId="0" fontId="43" fillId="3" borderId="58" xfId="0" applyFont="1" applyFill="1" applyBorder="1" applyAlignment="1">
      <alignment horizontal="center" vertical="center" readingOrder="1"/>
    </xf>
    <xf numFmtId="0" fontId="43" fillId="3" borderId="0" xfId="0" applyFont="1" applyFill="1" applyBorder="1" applyAlignment="1">
      <alignment horizontal="center" vertical="center"/>
    </xf>
    <xf numFmtId="0" fontId="43" fillId="0" borderId="10" xfId="0" applyFont="1" applyBorder="1" applyAlignment="1">
      <alignment horizontal="center" vertical="center" wrapText="1"/>
    </xf>
    <xf numFmtId="168" fontId="43" fillId="3" borderId="10" xfId="0" applyNumberFormat="1" applyFont="1" applyFill="1" applyBorder="1" applyAlignment="1">
      <alignment horizontal="center" vertical="center"/>
    </xf>
    <xf numFmtId="166" fontId="43" fillId="3" borderId="10" xfId="0" applyNumberFormat="1" applyFont="1" applyFill="1" applyBorder="1" applyAlignment="1">
      <alignment horizontal="center" vertical="center"/>
    </xf>
    <xf numFmtId="0" fontId="0" fillId="0" borderId="0" xfId="0" applyAlignment="1">
      <alignment vertical="center"/>
    </xf>
    <xf numFmtId="0" fontId="58" fillId="19" borderId="10" xfId="0" applyNumberFormat="1" applyFont="1" applyFill="1" applyBorder="1" applyAlignment="1">
      <alignment horizontal="center" vertical="center" wrapText="1" readingOrder="1"/>
    </xf>
    <xf numFmtId="49" fontId="7" fillId="19" borderId="10" xfId="0" applyNumberFormat="1" applyFont="1" applyFill="1" applyBorder="1" applyAlignment="1">
      <alignment horizontal="center" vertical="center" wrapText="1" readingOrder="1"/>
    </xf>
    <xf numFmtId="49" fontId="7" fillId="19" borderId="10" xfId="0" applyNumberFormat="1" applyFont="1" applyFill="1" applyBorder="1" applyAlignment="1">
      <alignment horizontal="left" vertical="center" wrapText="1" readingOrder="1"/>
    </xf>
    <xf numFmtId="49" fontId="7" fillId="19" borderId="11" xfId="0" applyNumberFormat="1" applyFont="1" applyFill="1" applyBorder="1" applyAlignment="1">
      <alignment horizontal="left" vertical="center" wrapText="1" readingOrder="1"/>
    </xf>
    <xf numFmtId="49" fontId="58" fillId="19" borderId="11" xfId="0" applyNumberFormat="1" applyFont="1" applyFill="1" applyBorder="1" applyAlignment="1">
      <alignment horizontal="left" vertical="center" wrapText="1" readingOrder="1"/>
    </xf>
    <xf numFmtId="49" fontId="61" fillId="15" borderId="62" xfId="0" applyNumberFormat="1" applyFont="1" applyFill="1" applyBorder="1" applyAlignment="1">
      <alignment horizontal="center" vertical="center" wrapText="1" readingOrder="1"/>
    </xf>
    <xf numFmtId="49" fontId="56" fillId="15" borderId="10" xfId="0" applyNumberFormat="1" applyFont="1" applyFill="1" applyBorder="1" applyAlignment="1">
      <alignment horizontal="center" vertical="center" wrapText="1" readingOrder="1"/>
    </xf>
    <xf numFmtId="49" fontId="56" fillId="15" borderId="12" xfId="0" applyNumberFormat="1" applyFont="1" applyFill="1" applyBorder="1" applyAlignment="1">
      <alignment horizontal="center" vertical="center" wrapText="1" readingOrder="1"/>
    </xf>
    <xf numFmtId="0" fontId="43" fillId="15" borderId="10" xfId="0" applyFont="1" applyFill="1" applyBorder="1" applyAlignment="1">
      <alignment horizontal="center" vertical="center" wrapText="1" readingOrder="1"/>
    </xf>
    <xf numFmtId="49" fontId="38" fillId="10" borderId="10" xfId="4" applyNumberFormat="1" applyBorder="1" applyAlignment="1">
      <alignment horizontal="center" vertical="center" wrapText="1" readingOrder="1"/>
    </xf>
    <xf numFmtId="164" fontId="56" fillId="12" borderId="10" xfId="4" applyNumberFormat="1" applyFont="1" applyFill="1" applyBorder="1" applyAlignment="1">
      <alignment horizontal="center" vertical="center" wrapText="1" readingOrder="1"/>
    </xf>
    <xf numFmtId="164" fontId="56" fillId="12" borderId="12" xfId="4" applyNumberFormat="1" applyFont="1" applyFill="1" applyBorder="1" applyAlignment="1">
      <alignment horizontal="center" vertical="center" wrapText="1" readingOrder="1"/>
    </xf>
    <xf numFmtId="49" fontId="46" fillId="3" borderId="52" xfId="0" applyNumberFormat="1" applyFont="1" applyFill="1" applyBorder="1" applyAlignment="1">
      <alignment horizontal="center" vertical="center" wrapText="1" readingOrder="1"/>
    </xf>
    <xf numFmtId="49" fontId="58" fillId="3" borderId="52" xfId="0" applyNumberFormat="1" applyFont="1" applyFill="1" applyBorder="1" applyAlignment="1">
      <alignment horizontal="center" vertical="center" wrapText="1" readingOrder="1"/>
    </xf>
    <xf numFmtId="49" fontId="58" fillId="3" borderId="11" xfId="0" applyNumberFormat="1" applyFont="1" applyFill="1" applyBorder="1" applyAlignment="1">
      <alignment horizontal="center" vertical="center" wrapText="1" readingOrder="1"/>
    </xf>
    <xf numFmtId="49" fontId="7" fillId="3" borderId="52" xfId="0" applyNumberFormat="1" applyFont="1" applyFill="1" applyBorder="1" applyAlignment="1">
      <alignment horizontal="center" vertical="center" wrapText="1" readingOrder="1"/>
    </xf>
    <xf numFmtId="49" fontId="7" fillId="3" borderId="52" xfId="0" applyNumberFormat="1" applyFont="1" applyFill="1" applyBorder="1" applyAlignment="1">
      <alignment horizontal="left" vertical="center" wrapText="1" readingOrder="1"/>
    </xf>
    <xf numFmtId="164" fontId="56" fillId="15" borderId="66" xfId="4" applyNumberFormat="1" applyFont="1" applyFill="1" applyBorder="1" applyAlignment="1">
      <alignment horizontal="center" vertical="center" wrapText="1" readingOrder="1"/>
    </xf>
    <xf numFmtId="164" fontId="60" fillId="3" borderId="9" xfId="4" applyNumberFormat="1" applyFont="1" applyFill="1" applyBorder="1" applyAlignment="1">
      <alignment horizontal="center" vertical="center" wrapText="1" readingOrder="1"/>
    </xf>
    <xf numFmtId="164" fontId="60" fillId="3" borderId="10" xfId="4" applyNumberFormat="1" applyFont="1" applyFill="1" applyBorder="1" applyAlignment="1">
      <alignment horizontal="center" vertical="center" wrapText="1" readingOrder="1"/>
    </xf>
    <xf numFmtId="164" fontId="56" fillId="3" borderId="62" xfId="4" applyNumberFormat="1" applyFont="1" applyFill="1" applyBorder="1" applyAlignment="1">
      <alignment horizontal="center" vertical="center" wrapText="1" readingOrder="1"/>
    </xf>
    <xf numFmtId="164" fontId="56" fillId="3" borderId="9" xfId="4" applyNumberFormat="1" applyFont="1" applyFill="1" applyBorder="1" applyAlignment="1">
      <alignment horizontal="center" vertical="center" wrapText="1" readingOrder="1"/>
    </xf>
    <xf numFmtId="164" fontId="56" fillId="3" borderId="12" xfId="4" applyNumberFormat="1" applyFont="1" applyFill="1" applyBorder="1" applyAlignment="1">
      <alignment horizontal="center" vertical="center" wrapText="1" readingOrder="1"/>
    </xf>
    <xf numFmtId="164" fontId="56" fillId="3" borderId="10" xfId="4" applyNumberFormat="1" applyFont="1" applyFill="1" applyBorder="1" applyAlignment="1">
      <alignment horizontal="center" vertical="center" wrapText="1" readingOrder="1"/>
    </xf>
    <xf numFmtId="49" fontId="58" fillId="19" borderId="11" xfId="0" applyNumberFormat="1" applyFont="1" applyFill="1" applyBorder="1" applyAlignment="1">
      <alignment horizontal="center" vertical="center" wrapText="1" readingOrder="1"/>
    </xf>
    <xf numFmtId="49" fontId="58" fillId="3" borderId="0" xfId="0" applyNumberFormat="1" applyFont="1" applyFill="1" applyBorder="1" applyAlignment="1">
      <alignment horizontal="center" vertical="center" wrapText="1" readingOrder="1"/>
    </xf>
    <xf numFmtId="0" fontId="43" fillId="3" borderId="0" xfId="0" applyFont="1" applyFill="1" applyBorder="1" applyAlignment="1">
      <alignment horizontal="center" vertical="center" readingOrder="1"/>
    </xf>
    <xf numFmtId="0" fontId="43" fillId="3" borderId="36" xfId="0" applyFont="1" applyFill="1" applyBorder="1" applyAlignment="1">
      <alignment horizontal="center" vertical="center" readingOrder="1"/>
    </xf>
    <xf numFmtId="0" fontId="43" fillId="3" borderId="52" xfId="0" applyFont="1" applyFill="1" applyBorder="1" applyAlignment="1">
      <alignment horizontal="center" vertical="center" wrapText="1"/>
    </xf>
    <xf numFmtId="168" fontId="43" fillId="3" borderId="41" xfId="0" applyNumberFormat="1" applyFont="1" applyFill="1" applyBorder="1" applyAlignment="1">
      <alignment horizontal="center" vertical="center"/>
    </xf>
    <xf numFmtId="166" fontId="43" fillId="3" borderId="41" xfId="0" applyNumberFormat="1" applyFont="1" applyFill="1" applyBorder="1" applyAlignment="1">
      <alignment horizontal="center" vertical="center"/>
    </xf>
    <xf numFmtId="0" fontId="0" fillId="3" borderId="0" xfId="0" applyFill="1" applyAlignment="1">
      <alignment vertical="center"/>
    </xf>
    <xf numFmtId="49" fontId="58" fillId="0" borderId="11" xfId="0" applyNumberFormat="1" applyFont="1" applyFill="1" applyBorder="1" applyAlignment="1">
      <alignment horizontal="left" vertical="center" wrapText="1" readingOrder="1"/>
    </xf>
    <xf numFmtId="49" fontId="58" fillId="0" borderId="67" xfId="0" applyNumberFormat="1" applyFont="1" applyFill="1" applyBorder="1" applyAlignment="1">
      <alignment horizontal="left" vertical="center" wrapText="1" readingOrder="1"/>
    </xf>
    <xf numFmtId="49" fontId="58" fillId="0" borderId="68" xfId="0" applyNumberFormat="1" applyFont="1" applyFill="1" applyBorder="1" applyAlignment="1">
      <alignment horizontal="center" vertical="center" wrapText="1" readingOrder="1"/>
    </xf>
    <xf numFmtId="49" fontId="58" fillId="0" borderId="67" xfId="0" applyNumberFormat="1" applyFont="1" applyFill="1" applyBorder="1" applyAlignment="1">
      <alignment horizontal="center" vertical="center" wrapText="1" readingOrder="1"/>
    </xf>
    <xf numFmtId="49" fontId="58" fillId="0" borderId="69" xfId="0" applyNumberFormat="1" applyFont="1" applyFill="1" applyBorder="1" applyAlignment="1">
      <alignment horizontal="left" vertical="top" wrapText="1" readingOrder="1"/>
    </xf>
    <xf numFmtId="164" fontId="56" fillId="12" borderId="70" xfId="4" applyNumberFormat="1" applyFont="1" applyFill="1" applyBorder="1" applyAlignment="1">
      <alignment horizontal="center" vertical="center" wrapText="1" readingOrder="1"/>
    </xf>
    <xf numFmtId="164" fontId="56" fillId="12" borderId="67" xfId="4" applyNumberFormat="1" applyFont="1" applyFill="1" applyBorder="1" applyAlignment="1">
      <alignment horizontal="center" vertical="center" wrapText="1" readingOrder="1"/>
    </xf>
    <xf numFmtId="164" fontId="56" fillId="12" borderId="71" xfId="4" applyNumberFormat="1" applyFont="1" applyFill="1" applyBorder="1" applyAlignment="1">
      <alignment horizontal="center" vertical="center" wrapText="1" readingOrder="1"/>
    </xf>
    <xf numFmtId="164" fontId="56" fillId="13" borderId="70" xfId="4" applyNumberFormat="1" applyFont="1" applyFill="1" applyBorder="1" applyAlignment="1">
      <alignment horizontal="center" vertical="center" wrapText="1" readingOrder="1"/>
    </xf>
    <xf numFmtId="0" fontId="43" fillId="9" borderId="10" xfId="0" applyFont="1" applyFill="1" applyBorder="1" applyAlignment="1">
      <alignment horizontal="center" vertical="center" wrapText="1" readingOrder="1"/>
    </xf>
    <xf numFmtId="49" fontId="58" fillId="0" borderId="53" xfId="0" applyNumberFormat="1" applyFont="1" applyFill="1" applyBorder="1" applyAlignment="1">
      <alignment horizontal="left" vertical="center" wrapText="1" readingOrder="1"/>
    </xf>
    <xf numFmtId="49" fontId="58" fillId="0" borderId="58" xfId="0" applyNumberFormat="1" applyFont="1" applyFill="1" applyBorder="1" applyAlignment="1">
      <alignment horizontal="left" vertical="center" wrapText="1" readingOrder="1"/>
    </xf>
    <xf numFmtId="49" fontId="58" fillId="0" borderId="57" xfId="0" applyNumberFormat="1" applyFont="1" applyFill="1" applyBorder="1" applyAlignment="1">
      <alignment horizontal="center" vertical="center" wrapText="1" readingOrder="1"/>
    </xf>
    <xf numFmtId="49" fontId="58" fillId="0" borderId="54" xfId="0" applyNumberFormat="1" applyFont="1" applyFill="1" applyBorder="1" applyAlignment="1">
      <alignment horizontal="left" vertical="center" wrapText="1" readingOrder="1"/>
    </xf>
    <xf numFmtId="164" fontId="56" fillId="12" borderId="72" xfId="4" applyNumberFormat="1" applyFont="1" applyFill="1" applyBorder="1" applyAlignment="1">
      <alignment horizontal="center" vertical="center" wrapText="1" readingOrder="1"/>
    </xf>
    <xf numFmtId="164" fontId="56" fillId="12" borderId="73" xfId="4" applyNumberFormat="1" applyFont="1" applyFill="1" applyBorder="1" applyAlignment="1">
      <alignment horizontal="center" vertical="center" wrapText="1" readingOrder="1"/>
    </xf>
    <xf numFmtId="164" fontId="56" fillId="12" borderId="74" xfId="4" applyNumberFormat="1" applyFont="1" applyFill="1" applyBorder="1" applyAlignment="1">
      <alignment horizontal="center" vertical="center" wrapText="1" readingOrder="1"/>
    </xf>
    <xf numFmtId="164" fontId="56" fillId="15" borderId="72" xfId="0" applyNumberFormat="1" applyFont="1" applyFill="1" applyBorder="1" applyAlignment="1">
      <alignment horizontal="center" vertical="center" wrapText="1" readingOrder="1"/>
    </xf>
    <xf numFmtId="164" fontId="56" fillId="15" borderId="73" xfId="0" applyNumberFormat="1" applyFont="1" applyFill="1" applyBorder="1" applyAlignment="1">
      <alignment horizontal="center" vertical="center" wrapText="1" readingOrder="1"/>
    </xf>
    <xf numFmtId="164" fontId="56" fillId="15" borderId="74" xfId="0" applyNumberFormat="1" applyFont="1" applyFill="1" applyBorder="1" applyAlignment="1">
      <alignment horizontal="center" vertical="center" wrapText="1" readingOrder="1"/>
    </xf>
    <xf numFmtId="49" fontId="7" fillId="15" borderId="58" xfId="0" applyNumberFormat="1" applyFont="1" applyFill="1" applyBorder="1" applyAlignment="1">
      <alignment vertical="center" wrapText="1" readingOrder="1"/>
    </xf>
    <xf numFmtId="49" fontId="7" fillId="15" borderId="54" xfId="0" applyNumberFormat="1" applyFont="1" applyFill="1" applyBorder="1" applyAlignment="1">
      <alignment vertical="center" wrapText="1" readingOrder="1"/>
    </xf>
    <xf numFmtId="49" fontId="7" fillId="3" borderId="54" xfId="0" applyNumberFormat="1" applyFont="1" applyFill="1" applyBorder="1" applyAlignment="1">
      <alignment vertical="center" wrapText="1" readingOrder="1"/>
    </xf>
    <xf numFmtId="164" fontId="56" fillId="13" borderId="60" xfId="4" applyNumberFormat="1" applyFont="1" applyFill="1" applyBorder="1" applyAlignment="1">
      <alignment horizontal="center" vertical="center" wrapText="1" readingOrder="1"/>
    </xf>
    <xf numFmtId="164" fontId="56" fillId="13" borderId="61" xfId="4" applyNumberFormat="1" applyFont="1" applyFill="1" applyBorder="1" applyAlignment="1">
      <alignment horizontal="center" vertical="center" wrapText="1" readingOrder="1"/>
    </xf>
    <xf numFmtId="164" fontId="56" fillId="13" borderId="67" xfId="4" applyNumberFormat="1" applyFont="1" applyFill="1" applyBorder="1" applyAlignment="1">
      <alignment horizontal="center" vertical="center" wrapText="1" readingOrder="1"/>
    </xf>
    <xf numFmtId="164" fontId="56" fillId="13" borderId="71" xfId="4" applyNumberFormat="1" applyFont="1" applyFill="1" applyBorder="1" applyAlignment="1">
      <alignment horizontal="center" vertical="center" wrapText="1" readingOrder="1"/>
    </xf>
    <xf numFmtId="164" fontId="56" fillId="12" borderId="58" xfId="4" applyNumberFormat="1" applyFont="1" applyFill="1" applyBorder="1" applyAlignment="1">
      <alignment horizontal="center" vertical="center" wrapText="1" readingOrder="1"/>
    </xf>
    <xf numFmtId="49" fontId="58" fillId="0" borderId="73" xfId="0" applyNumberFormat="1" applyFont="1" applyFill="1" applyBorder="1" applyAlignment="1">
      <alignment horizontal="left" vertical="center" wrapText="1" readingOrder="1"/>
    </xf>
    <xf numFmtId="49" fontId="7" fillId="15" borderId="33" xfId="0" applyNumberFormat="1" applyFont="1" applyFill="1" applyBorder="1" applyAlignment="1">
      <alignment vertical="center" wrapText="1" readingOrder="1"/>
    </xf>
    <xf numFmtId="49" fontId="7" fillId="15" borderId="56" xfId="0" applyNumberFormat="1" applyFont="1" applyFill="1" applyBorder="1" applyAlignment="1">
      <alignment vertical="center" wrapText="1" readingOrder="1"/>
    </xf>
    <xf numFmtId="49" fontId="7" fillId="3" borderId="56" xfId="0" applyNumberFormat="1" applyFont="1" applyFill="1" applyBorder="1" applyAlignment="1">
      <alignment vertical="center" wrapText="1" readingOrder="1"/>
    </xf>
    <xf numFmtId="49" fontId="58" fillId="0" borderId="73" xfId="0" applyNumberFormat="1" applyFont="1" applyFill="1" applyBorder="1" applyAlignment="1">
      <alignment horizontal="center" vertical="center" wrapText="1" readingOrder="1"/>
    </xf>
    <xf numFmtId="49" fontId="58" fillId="0" borderId="75" xfId="0" applyNumberFormat="1" applyFont="1" applyFill="1" applyBorder="1" applyAlignment="1">
      <alignment horizontal="left" vertical="center" wrapText="1" readingOrder="1"/>
    </xf>
    <xf numFmtId="164" fontId="56" fillId="13" borderId="72" xfId="4" applyNumberFormat="1" applyFont="1" applyFill="1" applyBorder="1" applyAlignment="1">
      <alignment horizontal="center" vertical="center" wrapText="1" readingOrder="1"/>
    </xf>
    <xf numFmtId="164" fontId="56" fillId="13" borderId="74" xfId="4" applyNumberFormat="1" applyFont="1" applyFill="1" applyBorder="1" applyAlignment="1">
      <alignment horizontal="center" vertical="center" wrapText="1" readingOrder="1"/>
    </xf>
    <xf numFmtId="49" fontId="58" fillId="3" borderId="10" xfId="0" applyNumberFormat="1" applyFont="1" applyFill="1" applyBorder="1" applyAlignment="1">
      <alignment vertical="center" wrapText="1" readingOrder="1"/>
    </xf>
    <xf numFmtId="49" fontId="58" fillId="3" borderId="59" xfId="0" applyNumberFormat="1" applyFont="1" applyFill="1" applyBorder="1" applyAlignment="1">
      <alignment vertical="center" wrapText="1" readingOrder="1"/>
    </xf>
    <xf numFmtId="49" fontId="7" fillId="0" borderId="67" xfId="0" applyNumberFormat="1" applyFont="1" applyFill="1" applyBorder="1" applyAlignment="1">
      <alignment horizontal="left" vertical="center" wrapText="1" readingOrder="1"/>
    </xf>
    <xf numFmtId="49" fontId="58" fillId="0" borderId="69" xfId="0" applyNumberFormat="1" applyFont="1" applyFill="1" applyBorder="1" applyAlignment="1">
      <alignment horizontal="center" vertical="center" wrapText="1" readingOrder="1"/>
    </xf>
    <xf numFmtId="49" fontId="7" fillId="0" borderId="67" xfId="0" applyNumberFormat="1" applyFont="1" applyFill="1" applyBorder="1" applyAlignment="1">
      <alignment horizontal="center" vertical="center" wrapText="1" readingOrder="1"/>
    </xf>
    <xf numFmtId="49" fontId="7" fillId="0" borderId="69" xfId="0" applyNumberFormat="1" applyFont="1" applyFill="1" applyBorder="1" applyAlignment="1">
      <alignment horizontal="left" vertical="center" wrapText="1" readingOrder="1"/>
    </xf>
    <xf numFmtId="164" fontId="56" fillId="14" borderId="70" xfId="4" applyNumberFormat="1" applyFont="1" applyFill="1" applyBorder="1" applyAlignment="1">
      <alignment horizontal="center" vertical="center" wrapText="1" readingOrder="1"/>
    </xf>
    <xf numFmtId="164" fontId="56" fillId="14" borderId="71" xfId="4" applyNumberFormat="1" applyFont="1" applyFill="1" applyBorder="1" applyAlignment="1">
      <alignment horizontal="center" vertical="center" wrapText="1" readingOrder="1"/>
    </xf>
    <xf numFmtId="164" fontId="56" fillId="3" borderId="70" xfId="4" applyNumberFormat="1" applyFont="1" applyFill="1" applyBorder="1" applyAlignment="1">
      <alignment horizontal="center" vertical="center" wrapText="1" readingOrder="1"/>
    </xf>
    <xf numFmtId="164" fontId="56" fillId="3" borderId="67" xfId="4" applyNumberFormat="1" applyFont="1" applyFill="1" applyBorder="1" applyAlignment="1">
      <alignment horizontal="center" vertical="center" wrapText="1" readingOrder="1"/>
    </xf>
    <xf numFmtId="164" fontId="56" fillId="3" borderId="71" xfId="4" applyNumberFormat="1" applyFont="1" applyFill="1" applyBorder="1" applyAlignment="1">
      <alignment horizontal="center" vertical="center" wrapText="1" readingOrder="1"/>
    </xf>
    <xf numFmtId="49" fontId="58" fillId="3" borderId="58" xfId="0" applyNumberFormat="1" applyFont="1" applyFill="1" applyBorder="1" applyAlignment="1">
      <alignment vertical="center" wrapText="1" readingOrder="1"/>
    </xf>
    <xf numFmtId="49" fontId="7" fillId="0" borderId="76" xfId="0" applyNumberFormat="1" applyFont="1" applyFill="1" applyBorder="1" applyAlignment="1">
      <alignment horizontal="left" vertical="center" wrapText="1" readingOrder="1"/>
    </xf>
    <xf numFmtId="49" fontId="58" fillId="0" borderId="76" xfId="0" applyNumberFormat="1" applyFont="1" applyFill="1" applyBorder="1" applyAlignment="1">
      <alignment horizontal="center" vertical="center" wrapText="1" readingOrder="1"/>
    </xf>
    <xf numFmtId="49" fontId="7" fillId="0" borderId="77" xfId="0" applyNumberFormat="1" applyFont="1" applyFill="1" applyBorder="1" applyAlignment="1">
      <alignment horizontal="left" vertical="center" wrapText="1" readingOrder="1"/>
    </xf>
    <xf numFmtId="164" fontId="56" fillId="12" borderId="66" xfId="4" applyNumberFormat="1" applyFont="1" applyFill="1" applyBorder="1" applyAlignment="1">
      <alignment horizontal="center" vertical="center" wrapText="1" readingOrder="1"/>
    </xf>
    <xf numFmtId="164" fontId="56" fillId="12" borderId="78" xfId="4" applyNumberFormat="1" applyFont="1" applyFill="1" applyBorder="1" applyAlignment="1">
      <alignment horizontal="center" vertical="center" wrapText="1" readingOrder="1"/>
    </xf>
    <xf numFmtId="164" fontId="56" fillId="13" borderId="66" xfId="4" applyNumberFormat="1" applyFont="1" applyFill="1" applyBorder="1" applyAlignment="1">
      <alignment horizontal="center" vertical="center" wrapText="1" readingOrder="1"/>
    </xf>
    <xf numFmtId="164" fontId="56" fillId="14" borderId="66" xfId="4" applyNumberFormat="1" applyFont="1" applyFill="1" applyBorder="1" applyAlignment="1">
      <alignment horizontal="center" vertical="center" wrapText="1" readingOrder="1"/>
    </xf>
    <xf numFmtId="164" fontId="56" fillId="14" borderId="78" xfId="4" applyNumberFormat="1" applyFont="1" applyFill="1" applyBorder="1" applyAlignment="1">
      <alignment horizontal="center" vertical="center" wrapText="1" readingOrder="1"/>
    </xf>
    <xf numFmtId="164" fontId="56" fillId="3" borderId="66" xfId="4" applyNumberFormat="1" applyFont="1" applyFill="1" applyBorder="1" applyAlignment="1">
      <alignment horizontal="center" vertical="center" wrapText="1" readingOrder="1"/>
    </xf>
    <xf numFmtId="49" fontId="7" fillId="15" borderId="76" xfId="0" applyNumberFormat="1" applyFont="1" applyFill="1" applyBorder="1" applyAlignment="1">
      <alignment horizontal="center" vertical="center" wrapText="1" readingOrder="1"/>
    </xf>
    <xf numFmtId="49" fontId="7" fillId="15" borderId="77" xfId="0" applyNumberFormat="1" applyFont="1" applyFill="1" applyBorder="1" applyAlignment="1">
      <alignment horizontal="center" vertical="center" wrapText="1" readingOrder="1"/>
    </xf>
    <xf numFmtId="164" fontId="56" fillId="12" borderId="66" xfId="0" applyNumberFormat="1" applyFont="1" applyFill="1" applyBorder="1" applyAlignment="1">
      <alignment horizontal="center" vertical="center" wrapText="1" readingOrder="1"/>
    </xf>
    <xf numFmtId="164" fontId="56" fillId="12" borderId="76" xfId="0" applyNumberFormat="1" applyFont="1" applyFill="1" applyBorder="1" applyAlignment="1">
      <alignment horizontal="center" vertical="center" wrapText="1" readingOrder="1"/>
    </xf>
    <xf numFmtId="164" fontId="56" fillId="12" borderId="78" xfId="0" applyNumberFormat="1" applyFont="1" applyFill="1" applyBorder="1" applyAlignment="1">
      <alignment horizontal="center" vertical="center" wrapText="1" readingOrder="1"/>
    </xf>
    <xf numFmtId="164" fontId="56" fillId="14" borderId="66" xfId="0" applyNumberFormat="1" applyFont="1" applyFill="1" applyBorder="1" applyAlignment="1">
      <alignment horizontal="center" vertical="center" wrapText="1" readingOrder="1"/>
    </xf>
    <xf numFmtId="164" fontId="56" fillId="14" borderId="78" xfId="0" applyNumberFormat="1" applyFont="1" applyFill="1" applyBorder="1" applyAlignment="1">
      <alignment horizontal="center" vertical="center" wrapText="1" readingOrder="1"/>
    </xf>
    <xf numFmtId="49" fontId="56" fillId="3" borderId="66" xfId="0" applyNumberFormat="1" applyFont="1" applyFill="1" applyBorder="1" applyAlignment="1">
      <alignment horizontal="center" vertical="center" wrapText="1" readingOrder="1"/>
    </xf>
    <xf numFmtId="49" fontId="56" fillId="3" borderId="76" xfId="0" applyNumberFormat="1" applyFont="1" applyFill="1" applyBorder="1" applyAlignment="1">
      <alignment horizontal="center" vertical="center" wrapText="1" readingOrder="1"/>
    </xf>
    <xf numFmtId="49" fontId="56" fillId="3" borderId="78" xfId="0" applyNumberFormat="1" applyFont="1" applyFill="1" applyBorder="1" applyAlignment="1">
      <alignment horizontal="center" vertical="center" wrapText="1" readingOrder="1"/>
    </xf>
    <xf numFmtId="164" fontId="64" fillId="12" borderId="66" xfId="4" applyNumberFormat="1" applyFont="1" applyFill="1" applyBorder="1" applyAlignment="1">
      <alignment horizontal="center" vertical="center" wrapText="1" readingOrder="1"/>
    </xf>
    <xf numFmtId="164" fontId="64" fillId="12" borderId="66" xfId="0" applyNumberFormat="1" applyFont="1" applyFill="1" applyBorder="1" applyAlignment="1">
      <alignment horizontal="center" vertical="center" wrapText="1" readingOrder="1"/>
    </xf>
    <xf numFmtId="164" fontId="64" fillId="12" borderId="78" xfId="0" applyNumberFormat="1" applyFont="1" applyFill="1" applyBorder="1" applyAlignment="1">
      <alignment horizontal="center" vertical="center" wrapText="1" readingOrder="1"/>
    </xf>
    <xf numFmtId="49" fontId="58" fillId="3" borderId="33" xfId="0" applyNumberFormat="1" applyFont="1" applyFill="1" applyBorder="1" applyAlignment="1">
      <alignment vertical="center" wrapText="1" readingOrder="1"/>
    </xf>
    <xf numFmtId="49" fontId="7" fillId="0" borderId="73" xfId="0" applyNumberFormat="1" applyFont="1" applyFill="1" applyBorder="1" applyAlignment="1">
      <alignment horizontal="left" vertical="center" wrapText="1" readingOrder="1"/>
    </xf>
    <xf numFmtId="49" fontId="7" fillId="15" borderId="73" xfId="0" applyNumberFormat="1" applyFont="1" applyFill="1" applyBorder="1" applyAlignment="1">
      <alignment horizontal="center" vertical="center" wrapText="1" readingOrder="1"/>
    </xf>
    <xf numFmtId="49" fontId="7" fillId="15" borderId="75" xfId="0" applyNumberFormat="1" applyFont="1" applyFill="1" applyBorder="1" applyAlignment="1">
      <alignment horizontal="center" vertical="center" wrapText="1" readingOrder="1"/>
    </xf>
    <xf numFmtId="49" fontId="7" fillId="0" borderId="75" xfId="0" applyNumberFormat="1" applyFont="1" applyFill="1" applyBorder="1" applyAlignment="1">
      <alignment horizontal="left" vertical="center" wrapText="1" readingOrder="1"/>
    </xf>
    <xf numFmtId="164" fontId="56" fillId="13" borderId="72" xfId="0" applyNumberFormat="1" applyFont="1" applyFill="1" applyBorder="1" applyAlignment="1">
      <alignment horizontal="center" vertical="center" wrapText="1" readingOrder="1"/>
    </xf>
    <xf numFmtId="164" fontId="56" fillId="13" borderId="73" xfId="0" applyNumberFormat="1" applyFont="1" applyFill="1" applyBorder="1" applyAlignment="1">
      <alignment horizontal="center" vertical="center" wrapText="1" readingOrder="1"/>
    </xf>
    <xf numFmtId="164" fontId="56" fillId="13" borderId="74" xfId="0" applyNumberFormat="1" applyFont="1" applyFill="1" applyBorder="1" applyAlignment="1">
      <alignment horizontal="center" vertical="center" wrapText="1" readingOrder="1"/>
    </xf>
    <xf numFmtId="164" fontId="56" fillId="3" borderId="72" xfId="0" applyNumberFormat="1" applyFont="1" applyFill="1" applyBorder="1" applyAlignment="1">
      <alignment horizontal="center" vertical="center" wrapText="1" readingOrder="1"/>
    </xf>
    <xf numFmtId="164" fontId="56" fillId="3" borderId="74" xfId="0" applyNumberFormat="1" applyFont="1" applyFill="1" applyBorder="1" applyAlignment="1">
      <alignment horizontal="center" vertical="center" wrapText="1" readingOrder="1"/>
    </xf>
    <xf numFmtId="164" fontId="56" fillId="3" borderId="73" xfId="0" applyNumberFormat="1" applyFont="1" applyFill="1" applyBorder="1" applyAlignment="1">
      <alignment horizontal="center" vertical="center" wrapText="1" readingOrder="1"/>
    </xf>
    <xf numFmtId="49" fontId="7" fillId="0" borderId="10" xfId="0" quotePrefix="1" applyNumberFormat="1" applyFont="1" applyFill="1" applyBorder="1" applyAlignment="1">
      <alignment horizontal="left" vertical="center" wrapText="1" readingOrder="1"/>
    </xf>
    <xf numFmtId="49" fontId="7" fillId="15" borderId="69" xfId="0" applyNumberFormat="1" applyFont="1" applyFill="1" applyBorder="1" applyAlignment="1">
      <alignment horizontal="center" vertical="center" wrapText="1" readingOrder="1"/>
    </xf>
    <xf numFmtId="49" fontId="7" fillId="0" borderId="53" xfId="0" quotePrefix="1" applyNumberFormat="1" applyFont="1" applyFill="1" applyBorder="1" applyAlignment="1">
      <alignment vertical="center" wrapText="1" readingOrder="1"/>
    </xf>
    <xf numFmtId="49" fontId="7" fillId="0" borderId="53" xfId="0" applyNumberFormat="1" applyFont="1" applyFill="1" applyBorder="1" applyAlignment="1">
      <alignment horizontal="left" vertical="center" wrapText="1" readingOrder="1"/>
    </xf>
    <xf numFmtId="49" fontId="7" fillId="0" borderId="59" xfId="0" quotePrefix="1" applyNumberFormat="1" applyFont="1" applyFill="1" applyBorder="1" applyAlignment="1">
      <alignment horizontal="left" vertical="center" wrapText="1" readingOrder="1"/>
    </xf>
    <xf numFmtId="49" fontId="7" fillId="15" borderId="53" xfId="0" applyNumberFormat="1" applyFont="1" applyFill="1" applyBorder="1" applyAlignment="1">
      <alignment horizontal="center" vertical="center" wrapText="1" readingOrder="1"/>
    </xf>
    <xf numFmtId="49" fontId="7" fillId="3" borderId="67" xfId="0" applyNumberFormat="1" applyFont="1" applyFill="1" applyBorder="1" applyAlignment="1">
      <alignment horizontal="left" vertical="center" wrapText="1" readingOrder="1"/>
    </xf>
    <xf numFmtId="49" fontId="7" fillId="15" borderId="67" xfId="0" applyNumberFormat="1" applyFont="1" applyFill="1" applyBorder="1" applyAlignment="1">
      <alignment horizontal="center" vertical="center" wrapText="1" readingOrder="1"/>
    </xf>
    <xf numFmtId="49" fontId="7" fillId="3" borderId="69" xfId="0" applyNumberFormat="1" applyFont="1" applyFill="1" applyBorder="1" applyAlignment="1">
      <alignment horizontal="left" vertical="center" wrapText="1" readingOrder="1"/>
    </xf>
    <xf numFmtId="49" fontId="43" fillId="19" borderId="10" xfId="0" applyNumberFormat="1" applyFont="1" applyFill="1" applyBorder="1" applyAlignment="1">
      <alignment horizontal="center" vertical="center"/>
    </xf>
    <xf numFmtId="49" fontId="43" fillId="19" borderId="10" xfId="0" applyNumberFormat="1" applyFont="1" applyFill="1" applyBorder="1" applyAlignment="1">
      <alignment horizontal="center" vertical="center" wrapText="1" readingOrder="1"/>
    </xf>
    <xf numFmtId="49" fontId="43" fillId="0" borderId="10" xfId="0" applyNumberFormat="1" applyFont="1" applyFill="1" applyBorder="1" applyAlignment="1">
      <alignment horizontal="center" vertical="center" wrapText="1" readingOrder="1"/>
    </xf>
    <xf numFmtId="49" fontId="7" fillId="0" borderId="85" xfId="0" applyNumberFormat="1" applyFont="1" applyFill="1" applyBorder="1" applyAlignment="1">
      <alignment horizontal="left" vertical="center" wrapText="1" readingOrder="1"/>
    </xf>
    <xf numFmtId="49" fontId="7" fillId="15" borderId="87" xfId="0" applyNumberFormat="1" applyFont="1" applyFill="1" applyBorder="1" applyAlignment="1">
      <alignment horizontal="center" vertical="center" wrapText="1" readingOrder="1"/>
    </xf>
    <xf numFmtId="49" fontId="7" fillId="15" borderId="85" xfId="0" applyNumberFormat="1" applyFont="1" applyFill="1" applyBorder="1" applyAlignment="1">
      <alignment horizontal="center" vertical="center" wrapText="1" readingOrder="1"/>
    </xf>
    <xf numFmtId="49" fontId="7" fillId="0" borderId="85" xfId="0" applyNumberFormat="1" applyFont="1" applyFill="1" applyBorder="1" applyAlignment="1">
      <alignment horizontal="center" vertical="center" wrapText="1" readingOrder="1"/>
    </xf>
    <xf numFmtId="164" fontId="56" fillId="15" borderId="76" xfId="4" applyNumberFormat="1" applyFont="1" applyFill="1" applyBorder="1" applyAlignment="1">
      <alignment horizontal="center" vertical="center" wrapText="1" readingOrder="1"/>
    </xf>
    <xf numFmtId="164" fontId="56" fillId="15" borderId="78" xfId="4" applyNumberFormat="1" applyFont="1" applyFill="1" applyBorder="1" applyAlignment="1">
      <alignment horizontal="center" vertical="center" wrapText="1" readingOrder="1"/>
    </xf>
    <xf numFmtId="164" fontId="56" fillId="13" borderId="66" xfId="0" applyNumberFormat="1" applyFont="1" applyFill="1" applyBorder="1" applyAlignment="1">
      <alignment horizontal="center" vertical="center" wrapText="1" readingOrder="1"/>
    </xf>
    <xf numFmtId="164" fontId="56" fillId="13" borderId="78" xfId="0" applyNumberFormat="1" applyFont="1" applyFill="1" applyBorder="1" applyAlignment="1">
      <alignment horizontal="center" vertical="center" wrapText="1" readingOrder="1"/>
    </xf>
    <xf numFmtId="0" fontId="43" fillId="0" borderId="76" xfId="0" applyFont="1" applyBorder="1" applyAlignment="1">
      <alignment horizontal="center" vertical="center"/>
    </xf>
    <xf numFmtId="49" fontId="7" fillId="0" borderId="76" xfId="0" applyNumberFormat="1" applyFont="1" applyFill="1" applyBorder="1" applyAlignment="1">
      <alignment horizontal="center" vertical="center" wrapText="1" readingOrder="1"/>
    </xf>
    <xf numFmtId="164" fontId="56" fillId="14" borderId="76" xfId="0" applyNumberFormat="1" applyFont="1" applyFill="1" applyBorder="1" applyAlignment="1">
      <alignment horizontal="center" vertical="center" wrapText="1" readingOrder="1"/>
    </xf>
    <xf numFmtId="49" fontId="7" fillId="3" borderId="87" xfId="0" applyNumberFormat="1" applyFont="1" applyFill="1" applyBorder="1" applyAlignment="1">
      <alignment horizontal="center" vertical="center" wrapText="1" readingOrder="1"/>
    </xf>
    <xf numFmtId="164" fontId="56" fillId="17" borderId="66" xfId="4" applyNumberFormat="1" applyFont="1" applyFill="1" applyBorder="1" applyAlignment="1">
      <alignment horizontal="center" vertical="center" wrapText="1" readingOrder="1"/>
    </xf>
    <xf numFmtId="164" fontId="56" fillId="17" borderId="78" xfId="4" applyNumberFormat="1" applyFont="1" applyFill="1" applyBorder="1" applyAlignment="1">
      <alignment horizontal="center" vertical="center" wrapText="1" readingOrder="1"/>
    </xf>
    <xf numFmtId="164" fontId="56" fillId="17" borderId="78" xfId="0" applyNumberFormat="1" applyFont="1" applyFill="1" applyBorder="1" applyAlignment="1">
      <alignment horizontal="center" vertical="center" wrapText="1" readingOrder="1"/>
    </xf>
    <xf numFmtId="164" fontId="56" fillId="17" borderId="66" xfId="0" applyNumberFormat="1" applyFont="1" applyFill="1" applyBorder="1" applyAlignment="1">
      <alignment horizontal="center" vertical="center" wrapText="1" readingOrder="1"/>
    </xf>
    <xf numFmtId="164" fontId="56" fillId="15" borderId="66" xfId="0" applyNumberFormat="1" applyFont="1" applyFill="1" applyBorder="1" applyAlignment="1">
      <alignment horizontal="center" vertical="center" wrapText="1" readingOrder="1"/>
    </xf>
    <xf numFmtId="164" fontId="56" fillId="15" borderId="78" xfId="0" applyNumberFormat="1" applyFont="1" applyFill="1" applyBorder="1" applyAlignment="1">
      <alignment horizontal="center" vertical="center" wrapText="1" readingOrder="1"/>
    </xf>
    <xf numFmtId="164" fontId="65" fillId="3" borderId="66" xfId="0" applyNumberFormat="1" applyFont="1" applyFill="1" applyBorder="1" applyAlignment="1">
      <alignment horizontal="center" vertical="center" wrapText="1" readingOrder="1"/>
    </xf>
    <xf numFmtId="164" fontId="65" fillId="3" borderId="74" xfId="0" applyNumberFormat="1" applyFont="1" applyFill="1" applyBorder="1" applyAlignment="1">
      <alignment horizontal="center" vertical="center" wrapText="1" readingOrder="1"/>
    </xf>
    <xf numFmtId="0" fontId="43" fillId="15" borderId="67" xfId="0" applyFont="1" applyFill="1" applyBorder="1" applyAlignment="1">
      <alignment horizontal="center" vertical="center"/>
    </xf>
    <xf numFmtId="0" fontId="43" fillId="15" borderId="69" xfId="0" applyFont="1" applyFill="1" applyBorder="1" applyAlignment="1">
      <alignment horizontal="center" vertical="center"/>
    </xf>
    <xf numFmtId="0" fontId="43" fillId="0" borderId="67" xfId="0" applyFont="1" applyBorder="1" applyAlignment="1">
      <alignment horizontal="center" vertical="center"/>
    </xf>
    <xf numFmtId="49" fontId="56" fillId="12" borderId="70" xfId="0" applyNumberFormat="1" applyFont="1" applyFill="1" applyBorder="1" applyAlignment="1">
      <alignment horizontal="center" vertical="center" wrapText="1" readingOrder="1"/>
    </xf>
    <xf numFmtId="164" fontId="56" fillId="12" borderId="70" xfId="0" applyNumberFormat="1" applyFont="1" applyFill="1" applyBorder="1" applyAlignment="1">
      <alignment horizontal="center" vertical="center" wrapText="1" readingOrder="1"/>
    </xf>
    <xf numFmtId="164" fontId="56" fillId="12" borderId="67" xfId="0" applyNumberFormat="1" applyFont="1" applyFill="1" applyBorder="1" applyAlignment="1">
      <alignment horizontal="center" vertical="center" wrapText="1" readingOrder="1"/>
    </xf>
    <xf numFmtId="164" fontId="56" fillId="12" borderId="71" xfId="0" applyNumberFormat="1" applyFont="1" applyFill="1" applyBorder="1" applyAlignment="1">
      <alignment horizontal="center" vertical="center" wrapText="1" readingOrder="1"/>
    </xf>
    <xf numFmtId="49" fontId="56" fillId="0" borderId="70" xfId="0" applyNumberFormat="1" applyFont="1" applyFill="1" applyBorder="1" applyAlignment="1">
      <alignment horizontal="center" vertical="center" wrapText="1" readingOrder="1"/>
    </xf>
    <xf numFmtId="49" fontId="56" fillId="0" borderId="67" xfId="0" applyNumberFormat="1" applyFont="1" applyFill="1" applyBorder="1" applyAlignment="1">
      <alignment horizontal="center" vertical="center" wrapText="1" readingOrder="1"/>
    </xf>
    <xf numFmtId="49" fontId="56" fillId="0" borderId="71" xfId="0" applyNumberFormat="1" applyFont="1" applyFill="1" applyBorder="1" applyAlignment="1">
      <alignment horizontal="center" vertical="center" wrapText="1" readingOrder="1"/>
    </xf>
    <xf numFmtId="49" fontId="56" fillId="0" borderId="66" xfId="0" applyNumberFormat="1" applyFont="1" applyFill="1" applyBorder="1" applyAlignment="1">
      <alignment horizontal="center" vertical="center" wrapText="1" readingOrder="1"/>
    </xf>
    <xf numFmtId="49" fontId="56" fillId="0" borderId="76" xfId="0" applyNumberFormat="1" applyFont="1" applyFill="1" applyBorder="1" applyAlignment="1">
      <alignment horizontal="center" vertical="center" wrapText="1" readingOrder="1"/>
    </xf>
    <xf numFmtId="49" fontId="56" fillId="0" borderId="78" xfId="0" applyNumberFormat="1" applyFont="1" applyFill="1" applyBorder="1" applyAlignment="1">
      <alignment horizontal="center" vertical="center" wrapText="1" readingOrder="1"/>
    </xf>
    <xf numFmtId="164" fontId="56" fillId="13" borderId="76" xfId="0" applyNumberFormat="1" applyFont="1" applyFill="1" applyBorder="1" applyAlignment="1">
      <alignment horizontal="center" vertical="center" wrapText="1" readingOrder="1"/>
    </xf>
    <xf numFmtId="164" fontId="56" fillId="3" borderId="66" xfId="0" applyNumberFormat="1" applyFont="1" applyFill="1" applyBorder="1" applyAlignment="1">
      <alignment horizontal="center" vertical="center" wrapText="1" readingOrder="1"/>
    </xf>
    <xf numFmtId="164" fontId="56" fillId="3" borderId="76" xfId="0" applyNumberFormat="1" applyFont="1" applyFill="1" applyBorder="1" applyAlignment="1">
      <alignment horizontal="center" vertical="center" wrapText="1" readingOrder="1"/>
    </xf>
    <xf numFmtId="164" fontId="56" fillId="3" borderId="78" xfId="0" applyNumberFormat="1" applyFont="1" applyFill="1" applyBorder="1" applyAlignment="1">
      <alignment horizontal="center" vertical="center" wrapText="1" readingOrder="1"/>
    </xf>
    <xf numFmtId="0" fontId="43" fillId="3" borderId="76" xfId="0" applyFont="1" applyFill="1" applyBorder="1" applyAlignment="1">
      <alignment horizontal="center" vertical="center"/>
    </xf>
    <xf numFmtId="164" fontId="56" fillId="3" borderId="76" xfId="0" quotePrefix="1" applyNumberFormat="1" applyFont="1" applyFill="1" applyBorder="1" applyAlignment="1">
      <alignment horizontal="center" vertical="center" wrapText="1" readingOrder="1"/>
    </xf>
    <xf numFmtId="164" fontId="56" fillId="3" borderId="78" xfId="0" quotePrefix="1" applyNumberFormat="1" applyFont="1" applyFill="1" applyBorder="1" applyAlignment="1">
      <alignment horizontal="center" vertical="center" wrapText="1" readingOrder="1"/>
    </xf>
    <xf numFmtId="49" fontId="7" fillId="3" borderId="54" xfId="0" applyNumberFormat="1" applyFont="1" applyFill="1" applyBorder="1" applyAlignment="1">
      <alignment horizontal="center" vertical="center" wrapText="1" readingOrder="1"/>
    </xf>
    <xf numFmtId="49" fontId="7" fillId="3" borderId="67" xfId="0" applyNumberFormat="1" applyFont="1" applyFill="1" applyBorder="1" applyAlignment="1">
      <alignment horizontal="center" vertical="center" wrapText="1" readingOrder="1"/>
    </xf>
    <xf numFmtId="164" fontId="56" fillId="14" borderId="70" xfId="0" applyNumberFormat="1" applyFont="1" applyFill="1" applyBorder="1" applyAlignment="1">
      <alignment horizontal="center" vertical="center" wrapText="1" readingOrder="1"/>
    </xf>
    <xf numFmtId="164" fontId="56" fillId="14" borderId="67" xfId="0" applyNumberFormat="1" applyFont="1" applyFill="1" applyBorder="1" applyAlignment="1">
      <alignment horizontal="center" vertical="center" wrapText="1" readingOrder="1"/>
    </xf>
    <xf numFmtId="164" fontId="56" fillId="14" borderId="71" xfId="0" applyNumberFormat="1" applyFont="1" applyFill="1" applyBorder="1" applyAlignment="1">
      <alignment horizontal="center" vertical="center" wrapText="1" readingOrder="1"/>
    </xf>
    <xf numFmtId="164" fontId="56" fillId="3" borderId="70" xfId="0" applyNumberFormat="1" applyFont="1" applyFill="1" applyBorder="1" applyAlignment="1">
      <alignment horizontal="center" vertical="center" wrapText="1" readingOrder="1"/>
    </xf>
    <xf numFmtId="164" fontId="56" fillId="3" borderId="67" xfId="0" applyNumberFormat="1" applyFont="1" applyFill="1" applyBorder="1" applyAlignment="1">
      <alignment horizontal="center" vertical="center" wrapText="1" readingOrder="1"/>
    </xf>
    <xf numFmtId="164" fontId="56" fillId="3" borderId="71" xfId="0" applyNumberFormat="1" applyFont="1" applyFill="1" applyBorder="1" applyAlignment="1">
      <alignment horizontal="center" vertical="center" wrapText="1" readingOrder="1"/>
    </xf>
    <xf numFmtId="49" fontId="43" fillId="0" borderId="33" xfId="0" applyNumberFormat="1" applyFont="1" applyFill="1" applyBorder="1" applyAlignment="1">
      <alignment horizontal="center" vertical="center"/>
    </xf>
    <xf numFmtId="9" fontId="43" fillId="3" borderId="33" xfId="1" applyFont="1" applyFill="1" applyBorder="1" applyAlignment="1">
      <alignment horizontal="center" vertical="center"/>
    </xf>
    <xf numFmtId="49" fontId="7" fillId="3" borderId="76" xfId="0" applyNumberFormat="1" applyFont="1" applyFill="1" applyBorder="1" applyAlignment="1">
      <alignment horizontal="center" vertical="center" wrapText="1" readingOrder="1"/>
    </xf>
    <xf numFmtId="49" fontId="7" fillId="3" borderId="77" xfId="0" applyNumberFormat="1" applyFont="1" applyFill="1" applyBorder="1" applyAlignment="1">
      <alignment horizontal="left" vertical="center" wrapText="1" readingOrder="1"/>
    </xf>
    <xf numFmtId="0" fontId="43" fillId="0" borderId="73" xfId="0" applyFont="1" applyBorder="1" applyAlignment="1">
      <alignment horizontal="center" vertical="center"/>
    </xf>
    <xf numFmtId="49" fontId="7" fillId="0" borderId="73" xfId="0" applyNumberFormat="1" applyFont="1" applyFill="1" applyBorder="1" applyAlignment="1">
      <alignment horizontal="center" vertical="center" wrapText="1" readingOrder="1"/>
    </xf>
    <xf numFmtId="49" fontId="7" fillId="3" borderId="75" xfId="0" applyNumberFormat="1" applyFont="1" applyFill="1" applyBorder="1" applyAlignment="1">
      <alignment horizontal="left" vertical="center" wrapText="1" readingOrder="1"/>
    </xf>
    <xf numFmtId="164" fontId="56" fillId="14" borderId="72" xfId="4" applyNumberFormat="1" applyFont="1" applyFill="1" applyBorder="1" applyAlignment="1">
      <alignment horizontal="center" vertical="center" wrapText="1" readingOrder="1"/>
    </xf>
    <xf numFmtId="164" fontId="56" fillId="14" borderId="73" xfId="0" applyNumberFormat="1" applyFont="1" applyFill="1" applyBorder="1" applyAlignment="1">
      <alignment horizontal="center" vertical="center" wrapText="1" readingOrder="1"/>
    </xf>
    <xf numFmtId="164" fontId="56" fillId="14" borderId="74" xfId="0" applyNumberFormat="1" applyFont="1" applyFill="1" applyBorder="1" applyAlignment="1">
      <alignment horizontal="center" vertical="center" wrapText="1" readingOrder="1"/>
    </xf>
    <xf numFmtId="164" fontId="56" fillId="14" borderId="72" xfId="0" applyNumberFormat="1" applyFont="1" applyFill="1" applyBorder="1" applyAlignment="1">
      <alignment horizontal="center" vertical="center" wrapText="1" readingOrder="1"/>
    </xf>
    <xf numFmtId="49" fontId="43" fillId="0" borderId="10" xfId="0" applyNumberFormat="1" applyFont="1" applyFill="1" applyBorder="1" applyAlignment="1">
      <alignment horizontal="center" vertical="center"/>
    </xf>
    <xf numFmtId="9" fontId="43" fillId="3" borderId="10" xfId="1" applyFont="1" applyFill="1" applyBorder="1" applyAlignment="1">
      <alignment horizontal="center" vertical="center"/>
    </xf>
    <xf numFmtId="49" fontId="7" fillId="3" borderId="53" xfId="0" applyNumberFormat="1" applyFont="1" applyFill="1" applyBorder="1" applyAlignment="1">
      <alignment horizontal="left" vertical="center" wrapText="1" readingOrder="1"/>
    </xf>
    <xf numFmtId="49" fontId="43" fillId="3" borderId="10" xfId="0" applyNumberFormat="1" applyFont="1" applyFill="1" applyBorder="1" applyAlignment="1">
      <alignment horizontal="center" vertical="center" wrapText="1"/>
    </xf>
    <xf numFmtId="49" fontId="43" fillId="3" borderId="10" xfId="0" applyNumberFormat="1" applyFont="1" applyFill="1" applyBorder="1" applyAlignment="1">
      <alignment horizontal="center" vertical="center" wrapText="1" readingOrder="1"/>
    </xf>
    <xf numFmtId="49" fontId="7" fillId="3" borderId="54" xfId="0" applyNumberFormat="1" applyFont="1" applyFill="1" applyBorder="1" applyAlignment="1">
      <alignment horizontal="left" vertical="center" wrapText="1" readingOrder="1"/>
    </xf>
    <xf numFmtId="49" fontId="7" fillId="3" borderId="76" xfId="0" applyNumberFormat="1" applyFont="1" applyFill="1" applyBorder="1" applyAlignment="1">
      <alignment horizontal="left" vertical="center" wrapText="1" readingOrder="1"/>
    </xf>
    <xf numFmtId="164" fontId="7" fillId="0" borderId="10" xfId="0" applyNumberFormat="1" applyFont="1" applyFill="1" applyBorder="1" applyAlignment="1">
      <alignment horizontal="center" vertical="center" wrapText="1" readingOrder="1"/>
    </xf>
    <xf numFmtId="164" fontId="65" fillId="3" borderId="9" xfId="0" applyNumberFormat="1" applyFont="1" applyFill="1" applyBorder="1" applyAlignment="1">
      <alignment horizontal="center" vertical="center" wrapText="1" readingOrder="1"/>
    </xf>
    <xf numFmtId="164" fontId="65" fillId="3" borderId="10" xfId="0" applyNumberFormat="1" applyFont="1" applyFill="1" applyBorder="1" applyAlignment="1">
      <alignment horizontal="center" vertical="center" wrapText="1" readingOrder="1"/>
    </xf>
    <xf numFmtId="164" fontId="65" fillId="3" borderId="12" xfId="0" applyNumberFormat="1" applyFont="1" applyFill="1" applyBorder="1" applyAlignment="1">
      <alignment horizontal="center" vertical="center" wrapText="1" readingOrder="1"/>
    </xf>
    <xf numFmtId="49" fontId="56" fillId="0" borderId="9" xfId="0" applyNumberFormat="1" applyFont="1" applyFill="1" applyBorder="1" applyAlignment="1">
      <alignment horizontal="center" vertical="center" wrapText="1" readingOrder="1"/>
    </xf>
    <xf numFmtId="49" fontId="56" fillId="0" borderId="12" xfId="0" applyNumberFormat="1" applyFont="1" applyFill="1" applyBorder="1" applyAlignment="1">
      <alignment horizontal="center" vertical="center" wrapText="1" readingOrder="1"/>
    </xf>
    <xf numFmtId="49" fontId="56" fillId="0" borderId="10" xfId="0" applyNumberFormat="1" applyFont="1" applyFill="1" applyBorder="1" applyAlignment="1">
      <alignment horizontal="center" vertical="center" wrapText="1" readingOrder="1"/>
    </xf>
    <xf numFmtId="49" fontId="43" fillId="15" borderId="10" xfId="0" applyNumberFormat="1" applyFont="1" applyFill="1" applyBorder="1" applyAlignment="1">
      <alignment horizontal="center" vertical="center" wrapText="1" readingOrder="1"/>
    </xf>
    <xf numFmtId="0" fontId="43" fillId="0" borderId="10" xfId="0" applyFont="1" applyBorder="1" applyAlignment="1">
      <alignment horizontal="center" vertical="center"/>
    </xf>
    <xf numFmtId="164" fontId="56" fillId="14" borderId="9" xfId="0" applyNumberFormat="1" applyFont="1" applyFill="1" applyBorder="1" applyAlignment="1">
      <alignment horizontal="center" vertical="center" wrapText="1" readingOrder="1"/>
    </xf>
    <xf numFmtId="164" fontId="56" fillId="14" borderId="12" xfId="0" applyNumberFormat="1" applyFont="1" applyFill="1" applyBorder="1" applyAlignment="1">
      <alignment horizontal="center" vertical="center" wrapText="1" readingOrder="1"/>
    </xf>
    <xf numFmtId="49" fontId="66" fillId="0" borderId="10" xfId="0" applyNumberFormat="1" applyFont="1" applyFill="1" applyBorder="1" applyAlignment="1">
      <alignment horizontal="center" vertical="center" wrapText="1" readingOrder="1"/>
    </xf>
    <xf numFmtId="49" fontId="66" fillId="19" borderId="10" xfId="0" applyNumberFormat="1" applyFont="1" applyFill="1" applyBorder="1" applyAlignment="1">
      <alignment horizontal="center" vertical="center" wrapText="1" readingOrder="1"/>
    </xf>
    <xf numFmtId="0" fontId="43" fillId="15" borderId="10" xfId="0" applyFont="1" applyFill="1" applyBorder="1" applyAlignment="1">
      <alignment horizontal="center" vertical="center"/>
    </xf>
    <xf numFmtId="0" fontId="43" fillId="15" borderId="11" xfId="0" applyFont="1" applyFill="1" applyBorder="1" applyAlignment="1">
      <alignment horizontal="center" vertical="center"/>
    </xf>
    <xf numFmtId="174" fontId="56" fillId="14" borderId="26" xfId="0" applyNumberFormat="1" applyFont="1" applyFill="1" applyBorder="1" applyAlignment="1">
      <alignment horizontal="center" vertical="center" wrapText="1" readingOrder="1"/>
    </xf>
    <xf numFmtId="174" fontId="56" fillId="14" borderId="28" xfId="0" applyNumberFormat="1" applyFont="1" applyFill="1" applyBorder="1" applyAlignment="1">
      <alignment horizontal="center" vertical="center" wrapText="1" readingOrder="1"/>
    </xf>
    <xf numFmtId="174" fontId="56" fillId="0" borderId="26" xfId="0" applyNumberFormat="1" applyFont="1" applyFill="1" applyBorder="1" applyAlignment="1">
      <alignment horizontal="center" vertical="center" wrapText="1" readingOrder="1"/>
    </xf>
    <xf numFmtId="174" fontId="56" fillId="0" borderId="27" xfId="0" applyNumberFormat="1" applyFont="1" applyFill="1" applyBorder="1" applyAlignment="1">
      <alignment horizontal="center" vertical="center" wrapText="1" readingOrder="1"/>
    </xf>
    <xf numFmtId="174" fontId="56" fillId="0" borderId="28" xfId="0" applyNumberFormat="1" applyFont="1" applyFill="1" applyBorder="1" applyAlignment="1">
      <alignment horizontal="center" vertical="center" wrapText="1" readingOrder="1"/>
    </xf>
    <xf numFmtId="0" fontId="43" fillId="3" borderId="10" xfId="0" applyFont="1" applyFill="1" applyBorder="1" applyAlignment="1">
      <alignment horizontal="center" vertical="center"/>
    </xf>
    <xf numFmtId="164" fontId="56" fillId="14" borderId="26" xfId="0" applyNumberFormat="1" applyFont="1" applyFill="1" applyBorder="1" applyAlignment="1">
      <alignment horizontal="center" vertical="center" wrapText="1" readingOrder="1"/>
    </xf>
    <xf numFmtId="164" fontId="56" fillId="14" borderId="28" xfId="0" applyNumberFormat="1" applyFont="1" applyFill="1" applyBorder="1" applyAlignment="1">
      <alignment horizontal="center" vertical="center" wrapText="1" readingOrder="1"/>
    </xf>
    <xf numFmtId="174" fontId="56" fillId="15" borderId="26" xfId="0" applyNumberFormat="1" applyFont="1" applyFill="1" applyBorder="1" applyAlignment="1">
      <alignment horizontal="center" vertical="center" wrapText="1" readingOrder="1"/>
    </xf>
    <xf numFmtId="174" fontId="56" fillId="15" borderId="27" xfId="0" applyNumberFormat="1" applyFont="1" applyFill="1" applyBorder="1" applyAlignment="1">
      <alignment horizontal="center" vertical="center" wrapText="1" readingOrder="1"/>
    </xf>
    <xf numFmtId="174" fontId="56" fillId="15" borderId="28" xfId="0" applyNumberFormat="1" applyFont="1" applyFill="1" applyBorder="1" applyAlignment="1">
      <alignment horizontal="center" vertical="center" wrapText="1" readingOrder="1"/>
    </xf>
    <xf numFmtId="0" fontId="43" fillId="3" borderId="0" xfId="0" applyFont="1" applyFill="1" applyAlignment="1">
      <alignment vertical="center"/>
    </xf>
    <xf numFmtId="0" fontId="43" fillId="3" borderId="0" xfId="0" applyFont="1" applyFill="1" applyAlignment="1">
      <alignment horizontal="center" vertical="center"/>
    </xf>
    <xf numFmtId="0" fontId="43" fillId="3" borderId="0" xfId="0" applyFont="1" applyFill="1" applyAlignment="1">
      <alignment horizontal="left" vertical="center"/>
    </xf>
    <xf numFmtId="0" fontId="67" fillId="3" borderId="0" xfId="0" applyFont="1" applyFill="1" applyAlignment="1">
      <alignment horizontal="right" vertical="center"/>
    </xf>
    <xf numFmtId="0" fontId="67" fillId="3" borderId="10" xfId="0" applyFont="1" applyFill="1" applyBorder="1" applyAlignment="1">
      <alignment horizontal="center" vertical="center"/>
    </xf>
    <xf numFmtId="49" fontId="67" fillId="3" borderId="10" xfId="0" applyNumberFormat="1" applyFont="1" applyFill="1" applyBorder="1" applyAlignment="1">
      <alignment horizontal="center" vertical="center"/>
    </xf>
    <xf numFmtId="0" fontId="67" fillId="3" borderId="58" xfId="0" applyFont="1" applyFill="1" applyBorder="1" applyAlignment="1">
      <alignment horizontal="center" vertical="center"/>
    </xf>
    <xf numFmtId="0" fontId="67" fillId="3" borderId="0" xfId="0" applyFont="1" applyFill="1" applyBorder="1" applyAlignment="1">
      <alignment horizontal="center" vertical="center"/>
    </xf>
    <xf numFmtId="0" fontId="43" fillId="3" borderId="0" xfId="0" applyFont="1" applyFill="1" applyAlignment="1">
      <alignment horizontal="center"/>
    </xf>
    <xf numFmtId="0" fontId="43" fillId="3" borderId="0" xfId="0" applyFont="1" applyFill="1" applyAlignment="1">
      <alignment horizontal="left"/>
    </xf>
    <xf numFmtId="0" fontId="0" fillId="3" borderId="0" xfId="0" applyFill="1" applyAlignment="1">
      <alignment horizontal="left"/>
    </xf>
    <xf numFmtId="0" fontId="9" fillId="0" borderId="0" xfId="0" applyFont="1"/>
    <xf numFmtId="0" fontId="0" fillId="0" borderId="0" xfId="0" applyAlignment="1"/>
    <xf numFmtId="0" fontId="0" fillId="20" borderId="10" xfId="0" applyFill="1" applyBorder="1" applyAlignment="1">
      <alignment horizontal="center"/>
    </xf>
    <xf numFmtId="0" fontId="0" fillId="17" borderId="10" xfId="0" applyFill="1" applyBorder="1" applyAlignment="1">
      <alignment horizontal="center"/>
    </xf>
    <xf numFmtId="0" fontId="3" fillId="0" borderId="0" xfId="0" applyFont="1" applyBorder="1" applyAlignment="1">
      <alignment horizontal="center" wrapText="1"/>
    </xf>
    <xf numFmtId="0" fontId="20" fillId="0" borderId="0" xfId="0" applyFont="1" applyFill="1" applyBorder="1" applyAlignment="1">
      <alignment horizontal="left" vertical="center"/>
    </xf>
    <xf numFmtId="0" fontId="40" fillId="0" borderId="0" xfId="0" applyFont="1" applyFill="1" applyBorder="1"/>
    <xf numFmtId="173" fontId="40" fillId="0" borderId="0" xfId="0" applyNumberFormat="1" applyFont="1" applyFill="1" applyBorder="1" applyAlignment="1">
      <alignment horizontal="center" vertical="center"/>
    </xf>
    <xf numFmtId="173" fontId="40" fillId="0" borderId="0" xfId="0" applyNumberFormat="1" applyFont="1" applyFill="1" applyBorder="1" applyAlignment="1">
      <alignment horizontal="center"/>
    </xf>
    <xf numFmtId="0" fontId="3" fillId="0" borderId="0" xfId="0" applyFont="1"/>
    <xf numFmtId="0" fontId="3" fillId="0" borderId="0" xfId="0" applyFont="1" applyAlignment="1">
      <alignment horizontal="center"/>
    </xf>
    <xf numFmtId="175" fontId="0" fillId="0" borderId="10" xfId="0" applyNumberFormat="1" applyBorder="1" applyAlignment="1">
      <alignment horizontal="center"/>
    </xf>
    <xf numFmtId="176" fontId="0" fillId="0" borderId="10" xfId="0" applyNumberFormat="1" applyBorder="1" applyAlignment="1">
      <alignment horizontal="center"/>
    </xf>
    <xf numFmtId="177" fontId="0" fillId="0" borderId="10" xfId="0" applyNumberFormat="1" applyBorder="1" applyAlignment="1">
      <alignment horizontal="center"/>
    </xf>
    <xf numFmtId="0" fontId="0" fillId="0" borderId="0" xfId="0" quotePrefix="1" applyFill="1" applyBorder="1"/>
    <xf numFmtId="175" fontId="0" fillId="0" borderId="0" xfId="0" applyNumberFormat="1" applyAlignment="1">
      <alignment horizontal="center"/>
    </xf>
    <xf numFmtId="176" fontId="0" fillId="0" borderId="0" xfId="0" applyNumberFormat="1" applyAlignment="1">
      <alignment horizontal="center"/>
    </xf>
    <xf numFmtId="177" fontId="0" fillId="0" borderId="0" xfId="0" applyNumberFormat="1" applyAlignment="1">
      <alignment horizontal="center"/>
    </xf>
    <xf numFmtId="0" fontId="0" fillId="17" borderId="33" xfId="0" applyFill="1" applyBorder="1"/>
    <xf numFmtId="0" fontId="0" fillId="17" borderId="0" xfId="0" applyFill="1" applyAlignment="1">
      <alignment horizontal="center"/>
    </xf>
    <xf numFmtId="176" fontId="0" fillId="17" borderId="10" xfId="0" applyNumberFormat="1" applyFill="1" applyBorder="1" applyAlignment="1">
      <alignment horizontal="center"/>
    </xf>
    <xf numFmtId="177" fontId="0" fillId="17" borderId="10" xfId="0" applyNumberFormat="1" applyFill="1" applyBorder="1" applyAlignment="1">
      <alignment horizontal="center"/>
    </xf>
    <xf numFmtId="0" fontId="0" fillId="0" borderId="10" xfId="0" applyBorder="1"/>
    <xf numFmtId="49" fontId="58" fillId="3" borderId="38" xfId="0" applyNumberFormat="1" applyFont="1" applyFill="1" applyBorder="1" applyAlignment="1">
      <alignment horizontal="center" vertical="center" wrapText="1" readingOrder="1"/>
    </xf>
    <xf numFmtId="49" fontId="7" fillId="3" borderId="38" xfId="0" applyNumberFormat="1" applyFont="1" applyFill="1" applyBorder="1" applyAlignment="1">
      <alignment horizontal="left" vertical="center" wrapText="1" readingOrder="1"/>
    </xf>
    <xf numFmtId="164" fontId="60" fillId="12" borderId="59" xfId="4" applyNumberFormat="1" applyFont="1" applyFill="1" applyBorder="1" applyAlignment="1">
      <alignment horizontal="center" vertical="center" wrapText="1" readingOrder="1"/>
    </xf>
    <xf numFmtId="164" fontId="60" fillId="3" borderId="59" xfId="4" applyNumberFormat="1" applyFont="1" applyFill="1" applyBorder="1" applyAlignment="1">
      <alignment horizontal="center" vertical="center" wrapText="1" readingOrder="1"/>
    </xf>
    <xf numFmtId="164" fontId="56" fillId="3" borderId="63" xfId="4" applyNumberFormat="1" applyFont="1" applyFill="1" applyBorder="1" applyAlignment="1">
      <alignment horizontal="center" vertical="center" wrapText="1" readingOrder="1"/>
    </xf>
    <xf numFmtId="0" fontId="43" fillId="3" borderId="38" xfId="0" applyFont="1" applyFill="1" applyBorder="1" applyAlignment="1">
      <alignment horizontal="center" vertical="center" wrapText="1"/>
    </xf>
    <xf numFmtId="168" fontId="43" fillId="3" borderId="0" xfId="0" applyNumberFormat="1" applyFont="1" applyFill="1" applyBorder="1" applyAlignment="1">
      <alignment horizontal="center" vertical="center"/>
    </xf>
    <xf numFmtId="166" fontId="43" fillId="3" borderId="0" xfId="0" applyNumberFormat="1" applyFont="1" applyFill="1" applyBorder="1" applyAlignment="1">
      <alignment horizontal="center" vertical="center"/>
    </xf>
    <xf numFmtId="49" fontId="46" fillId="3" borderId="10" xfId="0" applyNumberFormat="1" applyFont="1" applyFill="1" applyBorder="1" applyAlignment="1">
      <alignment horizontal="center" vertical="center" wrapText="1" readingOrder="1"/>
    </xf>
    <xf numFmtId="49" fontId="7" fillId="3" borderId="10" xfId="0" applyNumberFormat="1" applyFont="1" applyFill="1" applyBorder="1" applyAlignment="1">
      <alignment horizontal="left" vertical="center" wrapText="1" readingOrder="1"/>
    </xf>
    <xf numFmtId="49" fontId="7" fillId="3" borderId="59" xfId="0" applyNumberFormat="1" applyFont="1" applyFill="1" applyBorder="1" applyAlignment="1">
      <alignment horizontal="left" vertical="center" wrapText="1" readingOrder="1"/>
    </xf>
    <xf numFmtId="49" fontId="7" fillId="3" borderId="11" xfId="0" applyNumberFormat="1" applyFont="1" applyFill="1" applyBorder="1" applyAlignment="1">
      <alignment horizontal="left" vertical="center" wrapText="1" readingOrder="1"/>
    </xf>
    <xf numFmtId="164" fontId="65" fillId="3" borderId="40" xfId="0" applyNumberFormat="1" applyFont="1" applyFill="1" applyBorder="1" applyAlignment="1">
      <alignment horizontal="center" vertical="center" wrapText="1" readingOrder="1"/>
    </xf>
    <xf numFmtId="164" fontId="56" fillId="14" borderId="40" xfId="4" applyNumberFormat="1" applyFont="1" applyFill="1" applyBorder="1" applyAlignment="1">
      <alignment horizontal="center" vertical="center" wrapText="1" readingOrder="1"/>
    </xf>
    <xf numFmtId="49" fontId="56" fillId="14" borderId="42" xfId="0" applyNumberFormat="1" applyFont="1" applyFill="1" applyBorder="1" applyAlignment="1">
      <alignment horizontal="center" vertical="center" wrapText="1" readingOrder="1"/>
    </xf>
    <xf numFmtId="49" fontId="56" fillId="14" borderId="40" xfId="0" applyNumberFormat="1" applyFont="1" applyFill="1" applyBorder="1" applyAlignment="1">
      <alignment horizontal="center" vertical="center" wrapText="1" readingOrder="1"/>
    </xf>
    <xf numFmtId="164" fontId="60" fillId="3" borderId="20" xfId="4" applyNumberFormat="1" applyFont="1" applyFill="1" applyBorder="1" applyAlignment="1">
      <alignment horizontal="center" vertical="center" wrapText="1" readingOrder="1"/>
    </xf>
    <xf numFmtId="164" fontId="60" fillId="3" borderId="12" xfId="4" applyNumberFormat="1" applyFont="1" applyFill="1" applyBorder="1" applyAlignment="1">
      <alignment horizontal="center" vertical="center" wrapText="1" readingOrder="1"/>
    </xf>
    <xf numFmtId="0" fontId="7" fillId="23" borderId="19" xfId="0" quotePrefix="1" applyFont="1" applyFill="1" applyBorder="1" applyAlignment="1">
      <alignment horizontal="center" vertical="center" wrapText="1" readingOrder="1"/>
    </xf>
    <xf numFmtId="164" fontId="60" fillId="23" borderId="59" xfId="4" applyNumberFormat="1" applyFont="1" applyFill="1" applyBorder="1" applyAlignment="1">
      <alignment horizontal="center" vertical="center" wrapText="1" readingOrder="1"/>
    </xf>
    <xf numFmtId="0" fontId="47" fillId="23" borderId="7" xfId="0" quotePrefix="1" applyFont="1" applyFill="1" applyBorder="1" applyAlignment="1">
      <alignment horizontal="center" vertical="center" wrapText="1" readingOrder="1"/>
    </xf>
    <xf numFmtId="0" fontId="47" fillId="23" borderId="24" xfId="0" quotePrefix="1" applyFont="1" applyFill="1" applyBorder="1" applyAlignment="1">
      <alignment horizontal="center" vertical="center" wrapText="1" readingOrder="1"/>
    </xf>
    <xf numFmtId="0" fontId="0" fillId="24" borderId="33" xfId="0" applyFill="1" applyBorder="1"/>
    <xf numFmtId="177" fontId="0" fillId="24" borderId="10" xfId="0" applyNumberFormat="1" applyFill="1" applyBorder="1" applyAlignment="1">
      <alignment horizontal="center"/>
    </xf>
    <xf numFmtId="0" fontId="0" fillId="24" borderId="0" xfId="0" applyFill="1" applyAlignment="1">
      <alignment horizontal="center"/>
    </xf>
    <xf numFmtId="176" fontId="0" fillId="24" borderId="10" xfId="0" applyNumberFormat="1" applyFill="1" applyBorder="1" applyAlignment="1">
      <alignment horizontal="center"/>
    </xf>
    <xf numFmtId="0" fontId="0" fillId="24" borderId="0" xfId="0" applyFill="1"/>
    <xf numFmtId="0" fontId="0" fillId="24" borderId="58" xfId="0" applyFill="1" applyBorder="1"/>
    <xf numFmtId="0" fontId="0" fillId="24" borderId="10" xfId="0" applyFill="1" applyBorder="1" applyAlignment="1">
      <alignment horizontal="center"/>
    </xf>
    <xf numFmtId="0" fontId="0" fillId="17" borderId="0" xfId="0" applyFill="1"/>
    <xf numFmtId="164" fontId="56" fillId="23" borderId="66" xfId="4" applyNumberFormat="1" applyFont="1" applyFill="1" applyBorder="1" applyAlignment="1">
      <alignment horizontal="center" vertical="center" wrapText="1" readingOrder="1"/>
    </xf>
    <xf numFmtId="164" fontId="65" fillId="3" borderId="41" xfId="4" applyNumberFormat="1" applyFont="1" applyFill="1" applyBorder="1" applyAlignment="1">
      <alignment horizontal="center" vertical="center" wrapText="1" readingOrder="1"/>
    </xf>
    <xf numFmtId="49" fontId="7" fillId="3" borderId="81" xfId="0" applyNumberFormat="1" applyFont="1" applyFill="1" applyBorder="1" applyAlignment="1">
      <alignment horizontal="left" vertical="center" wrapText="1" readingOrder="1"/>
    </xf>
    <xf numFmtId="49" fontId="7" fillId="15" borderId="81" xfId="0" applyNumberFormat="1" applyFont="1" applyFill="1" applyBorder="1" applyAlignment="1">
      <alignment horizontal="center" vertical="center" wrapText="1" readingOrder="1"/>
    </xf>
    <xf numFmtId="49" fontId="7" fillId="15" borderId="90" xfId="0" applyNumberFormat="1" applyFont="1" applyFill="1" applyBorder="1" applyAlignment="1">
      <alignment horizontal="center" vertical="center" wrapText="1" readingOrder="1"/>
    </xf>
    <xf numFmtId="49" fontId="7" fillId="3" borderId="81" xfId="0" applyNumberFormat="1" applyFont="1" applyFill="1" applyBorder="1" applyAlignment="1">
      <alignment horizontal="center" vertical="center" wrapText="1" readingOrder="1"/>
    </xf>
    <xf numFmtId="49" fontId="7" fillId="3" borderId="90" xfId="0" applyNumberFormat="1" applyFont="1" applyFill="1" applyBorder="1" applyAlignment="1">
      <alignment horizontal="left" vertical="center" wrapText="1" readingOrder="1"/>
    </xf>
    <xf numFmtId="0" fontId="9" fillId="3" borderId="0" xfId="0" applyFont="1" applyFill="1" applyBorder="1" applyAlignment="1" applyProtection="1">
      <alignment wrapText="1"/>
      <protection hidden="1"/>
    </xf>
    <xf numFmtId="164" fontId="56" fillId="23" borderId="70" xfId="4" applyNumberFormat="1" applyFont="1" applyFill="1" applyBorder="1" applyAlignment="1">
      <alignment horizontal="center" vertical="center" wrapText="1" readingOrder="1"/>
    </xf>
    <xf numFmtId="0" fontId="71" fillId="3" borderId="0" xfId="0" applyFont="1" applyFill="1" applyBorder="1" applyAlignment="1" applyProtection="1">
      <protection hidden="1"/>
    </xf>
    <xf numFmtId="0" fontId="71" fillId="3" borderId="0" xfId="0" applyNumberFormat="1" applyFont="1" applyFill="1" applyBorder="1" applyAlignment="1" applyProtection="1">
      <alignment horizontal="center"/>
      <protection hidden="1"/>
    </xf>
    <xf numFmtId="167" fontId="71" fillId="3" borderId="0" xfId="0" applyNumberFormat="1" applyFont="1" applyFill="1" applyBorder="1" applyAlignment="1" applyProtection="1">
      <alignment horizontal="center"/>
      <protection hidden="1"/>
    </xf>
    <xf numFmtId="168" fontId="71" fillId="3" borderId="0" xfId="0" applyNumberFormat="1" applyFont="1" applyFill="1" applyBorder="1" applyAlignment="1" applyProtection="1">
      <alignment horizontal="center"/>
      <protection hidden="1"/>
    </xf>
    <xf numFmtId="0" fontId="16" fillId="3" borderId="0" xfId="2" applyNumberFormat="1" applyFont="1" applyFill="1" applyBorder="1" applyAlignment="1" applyProtection="1">
      <alignment horizontal="center"/>
      <protection hidden="1"/>
    </xf>
    <xf numFmtId="0" fontId="16" fillId="3" borderId="0" xfId="0" applyFont="1" applyFill="1" applyBorder="1" applyAlignment="1" applyProtection="1">
      <alignment horizontal="center"/>
      <protection hidden="1"/>
    </xf>
    <xf numFmtId="168" fontId="23" fillId="3" borderId="0" xfId="0" applyNumberFormat="1" applyFont="1" applyFill="1" applyBorder="1" applyAlignment="1" applyProtection="1">
      <alignment horizontal="center"/>
      <protection hidden="1"/>
    </xf>
    <xf numFmtId="168" fontId="14" fillId="3" borderId="19" xfId="0" applyNumberFormat="1" applyFont="1" applyFill="1" applyBorder="1" applyAlignment="1" applyProtection="1">
      <alignment horizontal="center"/>
      <protection hidden="1"/>
    </xf>
    <xf numFmtId="168" fontId="23" fillId="3" borderId="19" xfId="0" applyNumberFormat="1" applyFont="1" applyFill="1" applyBorder="1" applyAlignment="1" applyProtection="1">
      <alignment horizontal="center"/>
      <protection hidden="1"/>
    </xf>
    <xf numFmtId="0" fontId="4" fillId="3" borderId="3" xfId="0" applyFont="1" applyFill="1" applyBorder="1" applyAlignment="1" applyProtection="1">
      <alignment horizontal="center"/>
      <protection hidden="1"/>
    </xf>
    <xf numFmtId="0" fontId="14" fillId="3" borderId="37" xfId="3" applyFont="1" applyFill="1" applyBorder="1" applyAlignment="1" applyProtection="1">
      <alignment horizontal="left" vertical="center"/>
      <protection hidden="1"/>
    </xf>
    <xf numFmtId="0" fontId="4" fillId="3" borderId="52" xfId="3" applyFont="1" applyFill="1" applyBorder="1" applyAlignment="1" applyProtection="1">
      <alignment horizontal="left" vertical="center" wrapText="1"/>
      <protection hidden="1"/>
    </xf>
    <xf numFmtId="167" fontId="14" fillId="3" borderId="52" xfId="3" applyNumberFormat="1" applyFont="1" applyFill="1" applyBorder="1" applyAlignment="1" applyProtection="1">
      <alignment horizontal="center" vertical="center" wrapText="1"/>
      <protection hidden="1"/>
    </xf>
    <xf numFmtId="172" fontId="14" fillId="3" borderId="52" xfId="3" applyNumberFormat="1" applyFont="1" applyFill="1" applyBorder="1" applyAlignment="1" applyProtection="1">
      <alignment horizontal="center" vertical="center" wrapText="1"/>
      <protection hidden="1"/>
    </xf>
    <xf numFmtId="0" fontId="4" fillId="3" borderId="52" xfId="3" applyFont="1" applyFill="1" applyBorder="1" applyAlignment="1" applyProtection="1">
      <alignment horizontal="left" vertical="center"/>
      <protection hidden="1"/>
    </xf>
    <xf numFmtId="173" fontId="14" fillId="3" borderId="52" xfId="0" applyNumberFormat="1" applyFont="1" applyFill="1" applyBorder="1" applyAlignment="1" applyProtection="1">
      <alignment horizontal="center"/>
      <protection hidden="1"/>
    </xf>
    <xf numFmtId="179" fontId="14" fillId="3" borderId="52" xfId="0" applyNumberFormat="1" applyFont="1" applyFill="1" applyBorder="1" applyAlignment="1" applyProtection="1">
      <alignment horizontal="center"/>
      <protection hidden="1"/>
    </xf>
    <xf numFmtId="180" fontId="14" fillId="3" borderId="52" xfId="0" applyNumberFormat="1" applyFont="1" applyFill="1" applyBorder="1" applyAlignment="1" applyProtection="1">
      <alignment horizontal="center"/>
      <protection hidden="1"/>
    </xf>
    <xf numFmtId="0" fontId="4" fillId="3" borderId="23" xfId="0" applyFont="1" applyFill="1" applyBorder="1" applyProtection="1">
      <protection hidden="1"/>
    </xf>
    <xf numFmtId="0" fontId="14" fillId="3" borderId="47" xfId="3" applyFont="1" applyFill="1" applyBorder="1" applyAlignment="1" applyProtection="1">
      <alignment horizontal="left" vertical="center"/>
      <protection hidden="1"/>
    </xf>
    <xf numFmtId="178" fontId="14" fillId="3" borderId="39" xfId="3" applyNumberFormat="1" applyFont="1" applyFill="1" applyBorder="1" applyAlignment="1" applyProtection="1">
      <alignment horizontal="center" vertical="center" wrapText="1"/>
      <protection hidden="1"/>
    </xf>
    <xf numFmtId="178" fontId="19" fillId="3" borderId="61" xfId="3" applyNumberFormat="1" applyFont="1" applyFill="1" applyBorder="1" applyAlignment="1" applyProtection="1">
      <alignment horizontal="center" vertical="center" wrapText="1"/>
      <protection hidden="1"/>
    </xf>
    <xf numFmtId="0" fontId="8" fillId="3" borderId="52" xfId="3" applyFont="1" applyFill="1" applyBorder="1" applyAlignment="1" applyProtection="1">
      <alignment horizontal="left" vertical="center" wrapText="1"/>
      <protection hidden="1"/>
    </xf>
    <xf numFmtId="179" fontId="16" fillId="3" borderId="0" xfId="3" applyNumberFormat="1" applyFont="1" applyFill="1" applyBorder="1" applyAlignment="1" applyProtection="1">
      <alignment horizontal="center" vertical="center"/>
      <protection hidden="1"/>
    </xf>
    <xf numFmtId="0" fontId="15" fillId="3" borderId="23" xfId="3" applyFont="1" applyFill="1" applyBorder="1" applyAlignment="1" applyProtection="1">
      <alignment vertical="center" textRotation="180"/>
      <protection hidden="1"/>
    </xf>
    <xf numFmtId="178" fontId="16" fillId="3" borderId="61" xfId="3" applyNumberFormat="1" applyFont="1" applyFill="1" applyBorder="1" applyAlignment="1" applyProtection="1">
      <alignment horizontal="center" vertical="center" wrapText="1"/>
      <protection hidden="1"/>
    </xf>
    <xf numFmtId="167" fontId="16" fillId="3" borderId="52" xfId="3" applyNumberFormat="1" applyFont="1" applyFill="1" applyBorder="1" applyAlignment="1" applyProtection="1">
      <alignment horizontal="center" vertical="top" wrapText="1"/>
      <protection hidden="1"/>
    </xf>
    <xf numFmtId="172" fontId="16" fillId="3" borderId="52" xfId="3" applyNumberFormat="1" applyFont="1" applyFill="1" applyBorder="1" applyAlignment="1" applyProtection="1">
      <alignment horizontal="center" vertical="center" wrapText="1"/>
      <protection hidden="1"/>
    </xf>
    <xf numFmtId="173" fontId="14" fillId="3" borderId="0" xfId="0" applyNumberFormat="1" applyFont="1" applyFill="1" applyBorder="1" applyAlignment="1" applyProtection="1">
      <alignment horizontal="center"/>
      <protection hidden="1"/>
    </xf>
    <xf numFmtId="179" fontId="14" fillId="3" borderId="0" xfId="0" applyNumberFormat="1" applyFont="1" applyFill="1" applyBorder="1" applyAlignment="1" applyProtection="1">
      <alignment horizontal="center"/>
      <protection hidden="1"/>
    </xf>
    <xf numFmtId="180" fontId="14" fillId="3" borderId="0" xfId="0" applyNumberFormat="1" applyFont="1" applyFill="1" applyBorder="1" applyAlignment="1" applyProtection="1">
      <alignment horizontal="center"/>
      <protection hidden="1"/>
    </xf>
    <xf numFmtId="178" fontId="16" fillId="3" borderId="13" xfId="3" applyNumberFormat="1" applyFont="1" applyFill="1" applyBorder="1" applyAlignment="1" applyProtection="1">
      <alignment horizontal="center" vertical="center" wrapText="1"/>
      <protection hidden="1"/>
    </xf>
    <xf numFmtId="178" fontId="23" fillId="3" borderId="13" xfId="0" applyNumberFormat="1" applyFont="1" applyFill="1" applyBorder="1" applyAlignment="1" applyProtection="1">
      <alignment horizontal="center"/>
      <protection hidden="1"/>
    </xf>
    <xf numFmtId="178" fontId="16" fillId="3" borderId="88" xfId="3" applyNumberFormat="1" applyFont="1" applyFill="1" applyBorder="1" applyAlignment="1" applyProtection="1">
      <alignment horizontal="center" vertical="center" wrapText="1"/>
      <protection hidden="1"/>
    </xf>
    <xf numFmtId="167" fontId="16" fillId="3" borderId="0" xfId="0" applyNumberFormat="1" applyFont="1" applyFill="1" applyBorder="1" applyProtection="1">
      <protection hidden="1"/>
    </xf>
    <xf numFmtId="172" fontId="16" fillId="3" borderId="0" xfId="0" applyNumberFormat="1" applyFont="1" applyFill="1" applyBorder="1" applyProtection="1">
      <protection hidden="1"/>
    </xf>
    <xf numFmtId="178" fontId="16" fillId="3" borderId="0" xfId="0" applyNumberFormat="1" applyFont="1" applyFill="1" applyProtection="1">
      <protection hidden="1"/>
    </xf>
    <xf numFmtId="167" fontId="16" fillId="3" borderId="0" xfId="3" applyNumberFormat="1" applyFont="1" applyFill="1" applyBorder="1" applyAlignment="1" applyProtection="1">
      <alignment horizontal="center" vertical="center" wrapText="1"/>
      <protection hidden="1"/>
    </xf>
    <xf numFmtId="172" fontId="16" fillId="3" borderId="0" xfId="3" applyNumberFormat="1" applyFont="1" applyFill="1" applyBorder="1" applyAlignment="1" applyProtection="1">
      <alignment horizontal="center" vertical="center" wrapText="1"/>
      <protection hidden="1"/>
    </xf>
    <xf numFmtId="178" fontId="16" fillId="3" borderId="13" xfId="0" applyNumberFormat="1" applyFont="1" applyFill="1" applyBorder="1" applyAlignment="1" applyProtection="1">
      <alignment horizontal="center"/>
      <protection hidden="1"/>
    </xf>
    <xf numFmtId="178" fontId="14" fillId="3" borderId="34" xfId="3" applyNumberFormat="1" applyFont="1" applyFill="1" applyBorder="1" applyAlignment="1" applyProtection="1">
      <alignment horizontal="center" vertical="center" wrapText="1"/>
      <protection hidden="1"/>
    </xf>
    <xf numFmtId="167" fontId="14" fillId="3" borderId="0" xfId="3" applyNumberFormat="1" applyFont="1" applyFill="1" applyBorder="1" applyAlignment="1" applyProtection="1">
      <alignment horizontal="center" vertical="center" wrapText="1"/>
      <protection hidden="1"/>
    </xf>
    <xf numFmtId="178" fontId="14" fillId="3" borderId="13" xfId="0" applyNumberFormat="1" applyFont="1" applyFill="1" applyBorder="1" applyAlignment="1" applyProtection="1">
      <alignment horizontal="center"/>
      <protection hidden="1"/>
    </xf>
    <xf numFmtId="178" fontId="14" fillId="3" borderId="13" xfId="3" applyNumberFormat="1" applyFont="1" applyFill="1" applyBorder="1" applyAlignment="1" applyProtection="1">
      <alignment horizontal="center" vertical="center" wrapText="1"/>
      <protection hidden="1"/>
    </xf>
    <xf numFmtId="0" fontId="16" fillId="3" borderId="37" xfId="3" applyFont="1" applyFill="1" applyBorder="1" applyAlignment="1" applyProtection="1">
      <alignment horizontal="left" vertical="center"/>
      <protection hidden="1"/>
    </xf>
    <xf numFmtId="49" fontId="8" fillId="3" borderId="38" xfId="3" applyNumberFormat="1" applyFont="1" applyFill="1" applyBorder="1" applyAlignment="1" applyProtection="1">
      <alignment horizontal="left" vertical="center" wrapText="1"/>
      <protection hidden="1"/>
    </xf>
    <xf numFmtId="167" fontId="16" fillId="3" borderId="38" xfId="3" applyNumberFormat="1" applyFont="1" applyFill="1" applyBorder="1" applyAlignment="1" applyProtection="1">
      <alignment horizontal="center" vertical="center" wrapText="1"/>
      <protection hidden="1"/>
    </xf>
    <xf numFmtId="172" fontId="16" fillId="3" borderId="38" xfId="3" applyNumberFormat="1" applyFont="1" applyFill="1" applyBorder="1" applyAlignment="1" applyProtection="1">
      <alignment horizontal="center" vertical="center" wrapText="1"/>
      <protection hidden="1"/>
    </xf>
    <xf numFmtId="173" fontId="16" fillId="3" borderId="0" xfId="3" applyNumberFormat="1" applyFont="1" applyFill="1" applyBorder="1" applyAlignment="1" applyProtection="1">
      <alignment horizontal="center" vertical="center" wrapText="1"/>
      <protection hidden="1"/>
    </xf>
    <xf numFmtId="179" fontId="16" fillId="3" borderId="0" xfId="3" applyNumberFormat="1" applyFont="1" applyFill="1" applyBorder="1" applyAlignment="1" applyProtection="1">
      <alignment horizontal="center" vertical="center" wrapText="1"/>
      <protection hidden="1"/>
    </xf>
    <xf numFmtId="180" fontId="16" fillId="3" borderId="0" xfId="3" applyNumberFormat="1" applyFont="1" applyFill="1" applyBorder="1" applyAlignment="1" applyProtection="1">
      <alignment horizontal="center" vertical="center" wrapText="1"/>
      <protection hidden="1"/>
    </xf>
    <xf numFmtId="178" fontId="19" fillId="3" borderId="13" xfId="3" applyNumberFormat="1" applyFont="1" applyFill="1" applyBorder="1" applyAlignment="1" applyProtection="1">
      <alignment horizontal="center" vertical="center" wrapText="1"/>
      <protection hidden="1"/>
    </xf>
    <xf numFmtId="178" fontId="23" fillId="3" borderId="13" xfId="0" applyNumberFormat="1" applyFont="1" applyFill="1" applyBorder="1" applyProtection="1">
      <protection hidden="1"/>
    </xf>
    <xf numFmtId="49" fontId="4" fillId="3" borderId="52" xfId="3" applyNumberFormat="1" applyFont="1" applyFill="1" applyBorder="1" applyAlignment="1" applyProtection="1">
      <alignment horizontal="left" vertical="center" wrapText="1"/>
      <protection hidden="1"/>
    </xf>
    <xf numFmtId="167" fontId="14" fillId="3" borderId="52" xfId="3" applyNumberFormat="1" applyFont="1" applyFill="1" applyBorder="1" applyAlignment="1" applyProtection="1">
      <alignment horizontal="center" vertical="top" wrapText="1"/>
      <protection hidden="1"/>
    </xf>
    <xf numFmtId="173" fontId="16" fillId="3" borderId="52" xfId="0" applyNumberFormat="1" applyFont="1" applyFill="1" applyBorder="1" applyAlignment="1" applyProtection="1">
      <alignment horizontal="right"/>
      <protection hidden="1"/>
    </xf>
    <xf numFmtId="179" fontId="16" fillId="3" borderId="52" xfId="0" quotePrefix="1" applyNumberFormat="1" applyFont="1" applyFill="1" applyBorder="1" applyAlignment="1" applyProtection="1">
      <alignment horizontal="center"/>
      <protection hidden="1"/>
    </xf>
    <xf numFmtId="180" fontId="16" fillId="3" borderId="52" xfId="0" applyNumberFormat="1" applyFont="1" applyFill="1" applyBorder="1" applyAlignment="1" applyProtection="1">
      <alignment horizontal="left"/>
      <protection hidden="1"/>
    </xf>
    <xf numFmtId="178" fontId="14" fillId="3" borderId="44" xfId="3" applyNumberFormat="1" applyFont="1" applyFill="1" applyBorder="1" applyAlignment="1" applyProtection="1">
      <alignment horizontal="center" vertical="center" wrapText="1"/>
      <protection hidden="1"/>
    </xf>
    <xf numFmtId="180" fontId="14" fillId="3" borderId="0" xfId="0" applyNumberFormat="1" applyFont="1" applyFill="1" applyBorder="1" applyProtection="1">
      <protection hidden="1"/>
    </xf>
    <xf numFmtId="0" fontId="16" fillId="3" borderId="23" xfId="3" applyFont="1" applyFill="1" applyBorder="1" applyAlignment="1" applyProtection="1">
      <alignment vertical="center"/>
      <protection hidden="1"/>
    </xf>
    <xf numFmtId="173" fontId="16" fillId="3" borderId="0" xfId="0" applyNumberFormat="1" applyFont="1" applyFill="1" applyBorder="1" applyAlignment="1" applyProtection="1">
      <alignment horizontal="center"/>
      <protection hidden="1"/>
    </xf>
    <xf numFmtId="179" fontId="16" fillId="3" borderId="0" xfId="0" applyNumberFormat="1" applyFont="1" applyFill="1" applyBorder="1" applyAlignment="1" applyProtection="1">
      <alignment horizontal="center"/>
      <protection hidden="1"/>
    </xf>
    <xf numFmtId="180" fontId="16" fillId="3" borderId="0" xfId="0" applyNumberFormat="1" applyFont="1" applyFill="1" applyBorder="1" applyAlignment="1" applyProtection="1">
      <alignment horizontal="center"/>
      <protection hidden="1"/>
    </xf>
    <xf numFmtId="0" fontId="16" fillId="3" borderId="23" xfId="0" applyFont="1" applyFill="1" applyBorder="1" applyProtection="1">
      <protection hidden="1"/>
    </xf>
    <xf numFmtId="167" fontId="16" fillId="3" borderId="0" xfId="3" applyNumberFormat="1" applyFont="1" applyFill="1" applyBorder="1" applyAlignment="1" applyProtection="1">
      <alignment vertical="center"/>
      <protection hidden="1"/>
    </xf>
    <xf numFmtId="172" fontId="16" fillId="3" borderId="0" xfId="3" applyNumberFormat="1" applyFont="1" applyFill="1" applyBorder="1" applyAlignment="1" applyProtection="1">
      <alignment vertical="center"/>
      <protection hidden="1"/>
    </xf>
    <xf numFmtId="173" fontId="16" fillId="3" borderId="0" xfId="3" applyNumberFormat="1" applyFont="1" applyFill="1" applyBorder="1" applyAlignment="1" applyProtection="1">
      <alignment vertical="center"/>
      <protection hidden="1"/>
    </xf>
    <xf numFmtId="180" fontId="16" fillId="3" borderId="0" xfId="3" applyNumberFormat="1" applyFont="1" applyFill="1" applyBorder="1" applyAlignment="1" applyProtection="1">
      <alignment vertical="center"/>
      <protection hidden="1"/>
    </xf>
    <xf numFmtId="178" fontId="16" fillId="3" borderId="13" xfId="3" applyNumberFormat="1" applyFont="1" applyFill="1" applyBorder="1" applyAlignment="1" applyProtection="1">
      <alignment vertical="center"/>
      <protection hidden="1"/>
    </xf>
    <xf numFmtId="173" fontId="16" fillId="3" borderId="0" xfId="0" applyNumberFormat="1" applyFont="1" applyFill="1" applyBorder="1" applyProtection="1">
      <protection hidden="1"/>
    </xf>
    <xf numFmtId="180" fontId="16" fillId="3" borderId="0" xfId="0" applyNumberFormat="1" applyFont="1" applyFill="1" applyBorder="1" applyProtection="1">
      <protection hidden="1"/>
    </xf>
    <xf numFmtId="178" fontId="16" fillId="3" borderId="13" xfId="0" applyNumberFormat="1" applyFont="1" applyFill="1" applyBorder="1" applyProtection="1">
      <protection hidden="1"/>
    </xf>
    <xf numFmtId="0" fontId="16" fillId="3" borderId="23" xfId="3" applyNumberFormat="1" applyFont="1" applyFill="1" applyBorder="1" applyAlignment="1" applyProtection="1">
      <alignment horizontal="left" vertical="center"/>
      <protection hidden="1"/>
    </xf>
    <xf numFmtId="0" fontId="8" fillId="3" borderId="0" xfId="3" applyNumberFormat="1" applyFont="1" applyFill="1" applyBorder="1" applyAlignment="1" applyProtection="1">
      <alignment horizontal="left" vertical="center" wrapText="1"/>
      <protection hidden="1"/>
    </xf>
    <xf numFmtId="0" fontId="14" fillId="3" borderId="0" xfId="0" applyFont="1" applyFill="1" applyProtection="1">
      <protection hidden="1"/>
    </xf>
    <xf numFmtId="167" fontId="14" fillId="3" borderId="0" xfId="0" applyNumberFormat="1" applyFont="1" applyFill="1" applyProtection="1">
      <protection hidden="1"/>
    </xf>
    <xf numFmtId="172" fontId="14" fillId="3" borderId="0" xfId="0" applyNumberFormat="1" applyFont="1" applyFill="1" applyProtection="1">
      <protection hidden="1"/>
    </xf>
    <xf numFmtId="179" fontId="14" fillId="3" borderId="0" xfId="0" applyNumberFormat="1" applyFont="1" applyFill="1" applyBorder="1" applyProtection="1">
      <protection hidden="1"/>
    </xf>
    <xf numFmtId="178" fontId="14" fillId="3" borderId="0" xfId="0" applyNumberFormat="1" applyFont="1" applyFill="1" applyBorder="1" applyProtection="1">
      <protection hidden="1"/>
    </xf>
    <xf numFmtId="172" fontId="14" fillId="3" borderId="17" xfId="0" applyNumberFormat="1" applyFont="1" applyFill="1" applyBorder="1" applyAlignment="1" applyProtection="1">
      <alignment horizontal="center"/>
      <protection hidden="1"/>
    </xf>
    <xf numFmtId="173" fontId="14" fillId="3" borderId="18" xfId="0" applyNumberFormat="1" applyFont="1" applyFill="1" applyBorder="1" applyAlignment="1" applyProtection="1">
      <alignment horizontal="right"/>
      <protection hidden="1"/>
    </xf>
    <xf numFmtId="179" fontId="14" fillId="3" borderId="4" xfId="0" quotePrefix="1" applyNumberFormat="1" applyFont="1" applyFill="1" applyBorder="1" applyAlignment="1" applyProtection="1">
      <alignment horizontal="center"/>
      <protection hidden="1"/>
    </xf>
    <xf numFmtId="180" fontId="14" fillId="3" borderId="5" xfId="0" applyNumberFormat="1" applyFont="1" applyFill="1" applyBorder="1" applyAlignment="1" applyProtection="1">
      <alignment horizontal="left"/>
      <protection hidden="1"/>
    </xf>
    <xf numFmtId="178" fontId="14" fillId="3" borderId="0" xfId="0" applyNumberFormat="1" applyFont="1" applyFill="1" applyBorder="1" applyAlignment="1" applyProtection="1">
      <alignment horizontal="center"/>
      <protection hidden="1"/>
    </xf>
    <xf numFmtId="169" fontId="14" fillId="3" borderId="0" xfId="0" applyNumberFormat="1" applyFont="1" applyFill="1" applyBorder="1" applyProtection="1">
      <protection hidden="1"/>
    </xf>
    <xf numFmtId="169" fontId="14" fillId="3" borderId="0" xfId="0" applyNumberFormat="1" applyFont="1" applyFill="1" applyBorder="1" applyAlignment="1" applyProtection="1">
      <alignment horizontal="center"/>
      <protection hidden="1"/>
    </xf>
    <xf numFmtId="173" fontId="14" fillId="3" borderId="38" xfId="0" applyNumberFormat="1" applyFont="1" applyFill="1" applyBorder="1" applyAlignment="1" applyProtection="1">
      <alignment horizontal="center"/>
      <protection hidden="1"/>
    </xf>
    <xf numFmtId="179" fontId="14" fillId="3" borderId="38" xfId="0" applyNumberFormat="1" applyFont="1" applyFill="1" applyBorder="1" applyAlignment="1" applyProtection="1">
      <alignment horizontal="center"/>
      <protection hidden="1"/>
    </xf>
    <xf numFmtId="180" fontId="14" fillId="3" borderId="38" xfId="0" applyNumberFormat="1" applyFont="1" applyFill="1" applyBorder="1" applyAlignment="1" applyProtection="1">
      <alignment horizontal="center"/>
      <protection hidden="1"/>
    </xf>
    <xf numFmtId="173" fontId="14" fillId="3" borderId="41" xfId="3" applyNumberFormat="1" applyFont="1" applyFill="1" applyBorder="1" applyAlignment="1" applyProtection="1">
      <alignment horizontal="center" vertical="center" wrapText="1"/>
      <protection hidden="1"/>
    </xf>
    <xf numFmtId="179" fontId="14" fillId="3" borderId="41" xfId="3" applyNumberFormat="1" applyFont="1" applyFill="1" applyBorder="1" applyAlignment="1" applyProtection="1">
      <alignment horizontal="center" vertical="center" wrapText="1"/>
      <protection hidden="1"/>
    </xf>
    <xf numFmtId="0" fontId="14" fillId="3" borderId="40" xfId="3" applyFont="1" applyFill="1" applyBorder="1" applyAlignment="1" applyProtection="1">
      <alignment horizontal="left" vertical="center"/>
      <protection hidden="1"/>
    </xf>
    <xf numFmtId="49" fontId="8" fillId="3" borderId="41" xfId="3" applyNumberFormat="1" applyFont="1" applyFill="1" applyBorder="1" applyAlignment="1" applyProtection="1">
      <alignment horizontal="left" vertical="center" wrapText="1"/>
      <protection hidden="1"/>
    </xf>
    <xf numFmtId="167" fontId="16" fillId="3" borderId="41" xfId="3" applyNumberFormat="1" applyFont="1" applyFill="1" applyBorder="1" applyAlignment="1" applyProtection="1">
      <alignment horizontal="center" vertical="center" wrapText="1"/>
      <protection hidden="1"/>
    </xf>
    <xf numFmtId="172" fontId="16" fillId="3" borderId="41" xfId="3" applyNumberFormat="1" applyFont="1" applyFill="1" applyBorder="1" applyAlignment="1" applyProtection="1">
      <alignment horizontal="center" vertical="center" wrapText="1"/>
      <protection hidden="1"/>
    </xf>
    <xf numFmtId="173" fontId="14" fillId="3" borderId="41" xfId="0" applyNumberFormat="1" applyFont="1" applyFill="1" applyBorder="1" applyAlignment="1" applyProtection="1">
      <alignment horizontal="center"/>
      <protection hidden="1"/>
    </xf>
    <xf numFmtId="179" fontId="14" fillId="3" borderId="41" xfId="0" applyNumberFormat="1" applyFont="1" applyFill="1" applyBorder="1" applyAlignment="1" applyProtection="1">
      <alignment horizontal="center"/>
      <protection hidden="1"/>
    </xf>
    <xf numFmtId="180" fontId="14" fillId="3" borderId="41" xfId="0" applyNumberFormat="1" applyFont="1" applyFill="1" applyBorder="1" applyAlignment="1" applyProtection="1">
      <alignment horizontal="center"/>
      <protection hidden="1"/>
    </xf>
    <xf numFmtId="0" fontId="4" fillId="3" borderId="32" xfId="0" applyFont="1" applyFill="1" applyBorder="1" applyAlignment="1" applyProtection="1">
      <protection hidden="1"/>
    </xf>
    <xf numFmtId="170" fontId="16" fillId="3" borderId="33" xfId="0" applyNumberFormat="1" applyFont="1" applyFill="1" applyBorder="1" applyAlignment="1" applyProtection="1">
      <alignment horizontal="center"/>
      <protection hidden="1"/>
    </xf>
    <xf numFmtId="170" fontId="16" fillId="3" borderId="17" xfId="0" applyNumberFormat="1" applyFont="1" applyFill="1" applyBorder="1" applyAlignment="1" applyProtection="1">
      <alignment horizontal="center" vertical="center"/>
      <protection hidden="1"/>
    </xf>
    <xf numFmtId="0" fontId="75" fillId="3" borderId="0" xfId="0" quotePrefix="1" applyFont="1" applyFill="1" applyBorder="1" applyAlignment="1">
      <alignment horizontal="center" vertical="center" wrapText="1" readingOrder="1"/>
    </xf>
    <xf numFmtId="49" fontId="7" fillId="0" borderId="38" xfId="0" applyNumberFormat="1" applyFont="1" applyFill="1" applyBorder="1" applyAlignment="1">
      <alignment horizontal="left" vertical="center" wrapText="1" readingOrder="1"/>
    </xf>
    <xf numFmtId="49" fontId="7" fillId="0" borderId="52" xfId="0" applyNumberFormat="1" applyFont="1" applyFill="1" applyBorder="1" applyAlignment="1">
      <alignment horizontal="left" vertical="center" wrapText="1" readingOrder="1"/>
    </xf>
    <xf numFmtId="49" fontId="7" fillId="19" borderId="41" xfId="0" applyNumberFormat="1" applyFont="1" applyFill="1" applyBorder="1" applyAlignment="1">
      <alignment horizontal="left" vertical="center" wrapText="1" readingOrder="1"/>
    </xf>
    <xf numFmtId="49" fontId="7" fillId="19" borderId="52" xfId="0" applyNumberFormat="1" applyFont="1" applyFill="1" applyBorder="1" applyAlignment="1">
      <alignment horizontal="left" vertical="center" wrapText="1" readingOrder="1"/>
    </xf>
    <xf numFmtId="49" fontId="58" fillId="0" borderId="38" xfId="0" applyNumberFormat="1" applyFont="1" applyFill="1" applyBorder="1" applyAlignment="1">
      <alignment horizontal="left" vertical="top" wrapText="1" readingOrder="1"/>
    </xf>
    <xf numFmtId="49" fontId="58" fillId="0" borderId="0" xfId="0" applyNumberFormat="1" applyFont="1" applyFill="1" applyBorder="1" applyAlignment="1">
      <alignment horizontal="left" vertical="center" wrapText="1" readingOrder="1"/>
    </xf>
    <xf numFmtId="49" fontId="58" fillId="0" borderId="41" xfId="0" applyNumberFormat="1" applyFont="1" applyFill="1" applyBorder="1" applyAlignment="1">
      <alignment horizontal="left" vertical="center" wrapText="1" readingOrder="1"/>
    </xf>
    <xf numFmtId="49" fontId="7" fillId="0" borderId="96" xfId="0" applyNumberFormat="1" applyFont="1" applyFill="1" applyBorder="1" applyAlignment="1">
      <alignment horizontal="left" vertical="center" wrapText="1" readingOrder="1"/>
    </xf>
    <xf numFmtId="49" fontId="7" fillId="0" borderId="97" xfId="0" applyNumberFormat="1" applyFont="1" applyFill="1" applyBorder="1" applyAlignment="1">
      <alignment horizontal="left" vertical="center" wrapText="1" readingOrder="1"/>
    </xf>
    <xf numFmtId="49" fontId="7" fillId="0" borderId="98" xfId="0" applyNumberFormat="1" applyFont="1" applyFill="1" applyBorder="1" applyAlignment="1">
      <alignment horizontal="left" vertical="center" wrapText="1" readingOrder="1"/>
    </xf>
    <xf numFmtId="49" fontId="7" fillId="0" borderId="38" xfId="0" quotePrefix="1" applyNumberFormat="1" applyFont="1" applyFill="1" applyBorder="1" applyAlignment="1">
      <alignment vertical="center" wrapText="1" readingOrder="1"/>
    </xf>
    <xf numFmtId="49" fontId="7" fillId="3" borderId="96" xfId="0" applyNumberFormat="1" applyFont="1" applyFill="1" applyBorder="1" applyAlignment="1">
      <alignment horizontal="left" vertical="center" wrapText="1" readingOrder="1"/>
    </xf>
    <xf numFmtId="49" fontId="7" fillId="3" borderId="97" xfId="0" applyNumberFormat="1" applyFont="1" applyFill="1" applyBorder="1" applyAlignment="1">
      <alignment horizontal="left" vertical="center" wrapText="1" readingOrder="1"/>
    </xf>
    <xf numFmtId="49" fontId="7" fillId="3" borderId="98" xfId="0" applyNumberFormat="1" applyFont="1" applyFill="1" applyBorder="1" applyAlignment="1">
      <alignment horizontal="left" vertical="center" wrapText="1" readingOrder="1"/>
    </xf>
    <xf numFmtId="49" fontId="7" fillId="3" borderId="99" xfId="0" applyNumberFormat="1" applyFont="1" applyFill="1" applyBorder="1" applyAlignment="1">
      <alignment horizontal="left" vertical="center" wrapText="1" readingOrder="1"/>
    </xf>
    <xf numFmtId="49" fontId="7" fillId="3" borderId="41" xfId="0" applyNumberFormat="1" applyFont="1" applyFill="1" applyBorder="1" applyAlignment="1">
      <alignment horizontal="left" vertical="center" wrapText="1" readingOrder="1"/>
    </xf>
    <xf numFmtId="49" fontId="7" fillId="0" borderId="0" xfId="0" applyNumberFormat="1" applyFont="1" applyFill="1" applyBorder="1" applyAlignment="1">
      <alignment horizontal="left" vertical="center" wrapText="1" readingOrder="1"/>
    </xf>
    <xf numFmtId="164" fontId="56" fillId="12" borderId="70" xfId="4" applyNumberFormat="1" applyFont="1" applyFill="1" applyBorder="1" applyAlignment="1" applyProtection="1">
      <alignment horizontal="center" vertical="center" wrapText="1" readingOrder="1"/>
      <protection hidden="1"/>
    </xf>
    <xf numFmtId="164" fontId="56" fillId="12" borderId="66" xfId="4" applyNumberFormat="1" applyFont="1" applyFill="1" applyBorder="1" applyAlignment="1" applyProtection="1">
      <alignment horizontal="center" vertical="center" wrapText="1" readingOrder="1"/>
      <protection hidden="1"/>
    </xf>
    <xf numFmtId="164" fontId="56" fillId="15" borderId="66" xfId="4" applyNumberFormat="1" applyFont="1" applyFill="1" applyBorder="1" applyAlignment="1" applyProtection="1">
      <alignment horizontal="center" vertical="center" wrapText="1" readingOrder="1"/>
      <protection hidden="1"/>
    </xf>
    <xf numFmtId="164" fontId="56" fillId="17" borderId="66" xfId="4" applyNumberFormat="1" applyFont="1" applyFill="1" applyBorder="1" applyAlignment="1" applyProtection="1">
      <alignment horizontal="center" vertical="center" wrapText="1" readingOrder="1"/>
      <protection hidden="1"/>
    </xf>
    <xf numFmtId="164" fontId="56" fillId="14" borderId="66" xfId="4" applyNumberFormat="1" applyFont="1" applyFill="1" applyBorder="1" applyAlignment="1" applyProtection="1">
      <alignment horizontal="center" vertical="center" wrapText="1" readingOrder="1"/>
      <protection hidden="1"/>
    </xf>
    <xf numFmtId="164" fontId="56" fillId="12" borderId="66" xfId="0" applyNumberFormat="1" applyFont="1" applyFill="1" applyBorder="1" applyAlignment="1" applyProtection="1">
      <alignment horizontal="center" vertical="center" wrapText="1" readingOrder="1"/>
      <protection hidden="1"/>
    </xf>
    <xf numFmtId="164" fontId="56" fillId="15" borderId="66" xfId="0" applyNumberFormat="1" applyFont="1" applyFill="1" applyBorder="1" applyAlignment="1" applyProtection="1">
      <alignment horizontal="center" vertical="center" wrapText="1" readingOrder="1"/>
      <protection hidden="1"/>
    </xf>
    <xf numFmtId="164" fontId="65" fillId="3" borderId="72" xfId="0" applyNumberFormat="1" applyFont="1" applyFill="1" applyBorder="1" applyAlignment="1" applyProtection="1">
      <alignment horizontal="center" vertical="center" wrapText="1" readingOrder="1"/>
      <protection hidden="1"/>
    </xf>
    <xf numFmtId="164" fontId="56" fillId="14" borderId="70" xfId="0" applyNumberFormat="1" applyFont="1" applyFill="1" applyBorder="1" applyAlignment="1" applyProtection="1">
      <alignment horizontal="center" vertical="center" wrapText="1" readingOrder="1"/>
      <protection hidden="1"/>
    </xf>
    <xf numFmtId="164" fontId="56" fillId="14" borderId="66" xfId="0" applyNumberFormat="1" applyFont="1" applyFill="1" applyBorder="1" applyAlignment="1" applyProtection="1">
      <alignment horizontal="center" vertical="center" wrapText="1" readingOrder="1"/>
      <protection hidden="1"/>
    </xf>
    <xf numFmtId="164" fontId="56" fillId="14" borderId="72" xfId="4" applyNumberFormat="1" applyFont="1" applyFill="1" applyBorder="1" applyAlignment="1" applyProtection="1">
      <alignment horizontal="center" vertical="center" wrapText="1" readingOrder="1"/>
      <protection hidden="1"/>
    </xf>
    <xf numFmtId="0" fontId="67" fillId="23" borderId="6" xfId="0" quotePrefix="1" applyFont="1" applyFill="1" applyBorder="1" applyAlignment="1">
      <alignment horizontal="center" vertical="center" wrapText="1" readingOrder="1"/>
    </xf>
    <xf numFmtId="0" fontId="67" fillId="23" borderId="24" xfId="0" quotePrefix="1" applyFont="1" applyFill="1" applyBorder="1" applyAlignment="1">
      <alignment horizontal="center" vertical="center" wrapText="1" readingOrder="1"/>
    </xf>
    <xf numFmtId="0" fontId="67" fillId="23" borderId="7" xfId="0" quotePrefix="1" applyFont="1" applyFill="1" applyBorder="1" applyAlignment="1">
      <alignment horizontal="center" vertical="center" wrapText="1" readingOrder="1"/>
    </xf>
    <xf numFmtId="164" fontId="76" fillId="23" borderId="59" xfId="4" applyNumberFormat="1" applyFont="1" applyFill="1" applyBorder="1" applyAlignment="1">
      <alignment horizontal="center" vertical="center" wrapText="1" readingOrder="1"/>
    </xf>
    <xf numFmtId="164" fontId="76" fillId="23" borderId="37" xfId="4" applyNumberFormat="1" applyFont="1" applyFill="1" applyBorder="1" applyAlignment="1">
      <alignment horizontal="center" vertical="center" wrapText="1" readingOrder="1"/>
    </xf>
    <xf numFmtId="0" fontId="39" fillId="22" borderId="0" xfId="0" applyFont="1" applyFill="1" applyAlignment="1">
      <alignment horizontal="center"/>
    </xf>
    <xf numFmtId="0" fontId="0" fillId="0" borderId="0" xfId="0" applyFont="1" applyFill="1" applyBorder="1" applyAlignment="1">
      <alignment horizontal="left" wrapText="1"/>
    </xf>
    <xf numFmtId="0" fontId="39" fillId="22" borderId="0" xfId="0" applyFont="1" applyFill="1" applyAlignment="1">
      <alignment horizontal="center"/>
    </xf>
    <xf numFmtId="177" fontId="0" fillId="24" borderId="0" xfId="0" applyNumberFormat="1" applyFill="1" applyBorder="1" applyAlignment="1">
      <alignment horizontal="center"/>
    </xf>
    <xf numFmtId="175" fontId="0" fillId="24" borderId="0" xfId="0" applyNumberFormat="1" applyFill="1" applyBorder="1" applyAlignment="1">
      <alignment horizontal="center"/>
    </xf>
    <xf numFmtId="175" fontId="0" fillId="17" borderId="0" xfId="0" applyNumberFormat="1" applyFill="1" applyBorder="1" applyAlignment="1">
      <alignment horizontal="center"/>
    </xf>
    <xf numFmtId="0" fontId="0" fillId="24" borderId="54" xfId="0" applyFill="1" applyBorder="1"/>
    <xf numFmtId="0" fontId="0" fillId="24" borderId="56" xfId="0" applyFill="1" applyBorder="1"/>
    <xf numFmtId="0" fontId="0" fillId="17" borderId="56" xfId="0" applyFill="1" applyBorder="1"/>
    <xf numFmtId="49" fontId="39" fillId="22" borderId="0" xfId="0" applyNumberFormat="1" applyFont="1" applyFill="1" applyAlignment="1">
      <alignment horizontal="center"/>
    </xf>
    <xf numFmtId="178" fontId="16" fillId="3" borderId="34" xfId="0" applyNumberFormat="1" applyFont="1" applyFill="1" applyBorder="1" applyAlignment="1" applyProtection="1">
      <alignment horizontal="center"/>
      <protection hidden="1"/>
    </xf>
    <xf numFmtId="178" fontId="14" fillId="3" borderId="13" xfId="3" applyNumberFormat="1" applyFont="1" applyFill="1" applyBorder="1" applyAlignment="1" applyProtection="1">
      <alignment horizontal="center" vertical="center"/>
      <protection hidden="1"/>
    </xf>
    <xf numFmtId="178" fontId="16" fillId="3" borderId="44" xfId="0" applyNumberFormat="1" applyFont="1" applyFill="1" applyBorder="1" applyAlignment="1" applyProtection="1">
      <alignment horizontal="center"/>
      <protection hidden="1"/>
    </xf>
    <xf numFmtId="164" fontId="62" fillId="12" borderId="101" xfId="0" applyNumberFormat="1" applyFont="1" applyFill="1" applyBorder="1" applyAlignment="1">
      <alignment horizontal="center" vertical="center" wrapText="1" readingOrder="1"/>
    </xf>
    <xf numFmtId="164" fontId="65" fillId="3" borderId="100" xfId="0" applyNumberFormat="1" applyFont="1" applyFill="1" applyBorder="1" applyAlignment="1">
      <alignment horizontal="center" vertical="center" wrapText="1" readingOrder="1"/>
    </xf>
    <xf numFmtId="0" fontId="24" fillId="3" borderId="0" xfId="0" applyFont="1" applyFill="1" applyAlignment="1" applyProtection="1">
      <alignment horizontal="center"/>
      <protection hidden="1"/>
    </xf>
    <xf numFmtId="177" fontId="0" fillId="25" borderId="10" xfId="0" applyNumberFormat="1" applyFill="1" applyBorder="1" applyAlignment="1">
      <alignment horizontal="center"/>
    </xf>
    <xf numFmtId="0" fontId="0" fillId="25" borderId="0" xfId="0" applyFill="1"/>
    <xf numFmtId="0" fontId="0" fillId="25" borderId="10" xfId="0" applyFill="1" applyBorder="1"/>
    <xf numFmtId="0" fontId="0" fillId="25" borderId="10" xfId="0" applyFill="1" applyBorder="1" applyAlignment="1">
      <alignment horizontal="center"/>
    </xf>
    <xf numFmtId="0" fontId="22" fillId="3" borderId="0" xfId="0" applyFont="1" applyFill="1" applyBorder="1" applyAlignment="1" applyProtection="1">
      <protection hidden="1"/>
    </xf>
    <xf numFmtId="0" fontId="4" fillId="3" borderId="15" xfId="0" applyNumberFormat="1" applyFont="1" applyFill="1" applyBorder="1" applyAlignment="1" applyProtection="1">
      <protection hidden="1"/>
    </xf>
    <xf numFmtId="0" fontId="5" fillId="3" borderId="0" xfId="0" applyFont="1" applyFill="1" applyAlignment="1" applyProtection="1">
      <alignment horizontal="center" vertical="center"/>
      <protection hidden="1"/>
    </xf>
    <xf numFmtId="0" fontId="0" fillId="3" borderId="4" xfId="0" applyFont="1" applyFill="1" applyBorder="1" applyAlignment="1" applyProtection="1">
      <alignment horizontal="center" vertical="center"/>
      <protection hidden="1"/>
    </xf>
    <xf numFmtId="0" fontId="4" fillId="3" borderId="0" xfId="0" applyFont="1" applyFill="1" applyAlignment="1" applyProtection="1">
      <alignment horizontal="center" vertical="center"/>
      <protection hidden="1"/>
    </xf>
    <xf numFmtId="0" fontId="19" fillId="3" borderId="0" xfId="0" applyFont="1" applyFill="1" applyBorder="1" applyAlignment="1" applyProtection="1">
      <alignment horizontal="center" vertical="center"/>
      <protection hidden="1"/>
    </xf>
    <xf numFmtId="0" fontId="28" fillId="3" borderId="0" xfId="0" applyFont="1" applyFill="1" applyBorder="1" applyAlignment="1" applyProtection="1">
      <alignment horizontal="center" vertical="center"/>
      <protection hidden="1"/>
    </xf>
    <xf numFmtId="49" fontId="7" fillId="3" borderId="87" xfId="0" applyNumberFormat="1" applyFont="1" applyFill="1" applyBorder="1" applyAlignment="1">
      <alignment horizontal="left" vertical="center" wrapText="1" readingOrder="1"/>
    </xf>
    <xf numFmtId="49" fontId="7" fillId="3" borderId="102" xfId="0" applyNumberFormat="1" applyFont="1" applyFill="1" applyBorder="1" applyAlignment="1">
      <alignment horizontal="left" vertical="center" wrapText="1" readingOrder="1"/>
    </xf>
    <xf numFmtId="164" fontId="56" fillId="12" borderId="84" xfId="4" applyNumberFormat="1" applyFont="1" applyFill="1" applyBorder="1" applyAlignment="1" applyProtection="1">
      <alignment horizontal="center" vertical="center" wrapText="1" readingOrder="1"/>
      <protection hidden="1"/>
    </xf>
    <xf numFmtId="164" fontId="56" fillId="15" borderId="84" xfId="4" applyNumberFormat="1" applyFont="1" applyFill="1" applyBorder="1" applyAlignment="1">
      <alignment horizontal="center" vertical="center" wrapText="1" readingOrder="1"/>
    </xf>
    <xf numFmtId="164" fontId="56" fillId="15" borderId="85" xfId="4" applyNumberFormat="1" applyFont="1" applyFill="1" applyBorder="1" applyAlignment="1">
      <alignment horizontal="center" vertical="center" wrapText="1" readingOrder="1"/>
    </xf>
    <xf numFmtId="164" fontId="56" fillId="15" borderId="86" xfId="4" applyNumberFormat="1" applyFont="1" applyFill="1" applyBorder="1" applyAlignment="1">
      <alignment horizontal="center" vertical="center" wrapText="1" readingOrder="1"/>
    </xf>
    <xf numFmtId="164" fontId="56" fillId="13" borderId="84" xfId="4" applyNumberFormat="1" applyFont="1" applyFill="1" applyBorder="1" applyAlignment="1">
      <alignment horizontal="center" vertical="center" wrapText="1" readingOrder="1"/>
    </xf>
    <xf numFmtId="164" fontId="56" fillId="13" borderId="86" xfId="4" applyNumberFormat="1" applyFont="1" applyFill="1" applyBorder="1" applyAlignment="1">
      <alignment horizontal="center" vertical="center" wrapText="1" readingOrder="1"/>
    </xf>
    <xf numFmtId="49" fontId="7" fillId="0" borderId="87" xfId="0" applyNumberFormat="1" applyFont="1" applyFill="1" applyBorder="1" applyAlignment="1">
      <alignment horizontal="left" vertical="center" wrapText="1" readingOrder="1"/>
    </xf>
    <xf numFmtId="49" fontId="7" fillId="0" borderId="102" xfId="0" applyNumberFormat="1" applyFont="1" applyFill="1" applyBorder="1" applyAlignment="1">
      <alignment horizontal="left" vertical="center" wrapText="1" readingOrder="1"/>
    </xf>
    <xf numFmtId="164" fontId="56" fillId="14" borderId="84" xfId="0" applyNumberFormat="1" applyFont="1" applyFill="1" applyBorder="1" applyAlignment="1">
      <alignment horizontal="center" vertical="center" wrapText="1" readingOrder="1"/>
    </xf>
    <xf numFmtId="164" fontId="56" fillId="14" borderId="86" xfId="0" applyNumberFormat="1" applyFont="1" applyFill="1" applyBorder="1" applyAlignment="1">
      <alignment horizontal="center" vertical="center" wrapText="1" readingOrder="1"/>
    </xf>
    <xf numFmtId="164" fontId="65" fillId="3" borderId="11" xfId="0" applyNumberFormat="1" applyFont="1" applyFill="1" applyBorder="1" applyAlignment="1">
      <alignment horizontal="center" vertical="center" wrapText="1" readingOrder="1"/>
    </xf>
    <xf numFmtId="174" fontId="56" fillId="0" borderId="31" xfId="0" applyNumberFormat="1" applyFont="1" applyFill="1" applyBorder="1" applyAlignment="1">
      <alignment horizontal="center" vertical="center" wrapText="1" readingOrder="1"/>
    </xf>
    <xf numFmtId="174" fontId="56" fillId="15" borderId="31" xfId="0" applyNumberFormat="1" applyFont="1" applyFill="1" applyBorder="1" applyAlignment="1">
      <alignment horizontal="center" vertical="center" wrapText="1" readingOrder="1"/>
    </xf>
    <xf numFmtId="164" fontId="56" fillId="3" borderId="77" xfId="0" quotePrefix="1" applyNumberFormat="1" applyFont="1" applyFill="1" applyBorder="1" applyAlignment="1">
      <alignment horizontal="center" vertical="center" wrapText="1" readingOrder="1"/>
    </xf>
    <xf numFmtId="164" fontId="56" fillId="12" borderId="69" xfId="4" applyNumberFormat="1" applyFont="1" applyFill="1" applyBorder="1" applyAlignment="1">
      <alignment horizontal="center" vertical="center" wrapText="1" readingOrder="1"/>
    </xf>
    <xf numFmtId="164" fontId="56" fillId="12" borderId="77" xfId="4" applyNumberFormat="1" applyFont="1" applyFill="1" applyBorder="1" applyAlignment="1">
      <alignment horizontal="center" vertical="center" wrapText="1" readingOrder="1"/>
    </xf>
    <xf numFmtId="0" fontId="8" fillId="3" borderId="13" xfId="0" applyFont="1" applyFill="1" applyBorder="1" applyAlignment="1" applyProtection="1">
      <protection hidden="1"/>
    </xf>
    <xf numFmtId="0" fontId="9" fillId="3" borderId="0" xfId="0" applyFont="1" applyFill="1" applyBorder="1" applyAlignment="1" applyProtection="1">
      <protection hidden="1"/>
    </xf>
    <xf numFmtId="0" fontId="0" fillId="3" borderId="0" xfId="0" applyFont="1" applyFill="1" applyBorder="1" applyAlignment="1" applyProtection="1">
      <protection hidden="1"/>
    </xf>
    <xf numFmtId="168" fontId="17" fillId="6" borderId="17" xfId="0" applyNumberFormat="1" applyFont="1" applyFill="1" applyBorder="1" applyAlignment="1" applyProtection="1">
      <alignment horizontal="center"/>
      <protection hidden="1"/>
    </xf>
    <xf numFmtId="168" fontId="17" fillId="6" borderId="19" xfId="0" applyNumberFormat="1" applyFont="1" applyFill="1" applyBorder="1" applyAlignment="1" applyProtection="1">
      <alignment horizontal="center"/>
      <protection hidden="1"/>
    </xf>
    <xf numFmtId="168" fontId="17" fillId="6" borderId="28" xfId="0" applyNumberFormat="1" applyFont="1" applyFill="1" applyBorder="1" applyAlignment="1" applyProtection="1">
      <alignment horizontal="center"/>
      <protection hidden="1"/>
    </xf>
    <xf numFmtId="0" fontId="4" fillId="3" borderId="50" xfId="0" applyFont="1" applyFill="1" applyBorder="1" applyAlignment="1" applyProtection="1">
      <alignment horizontal="center" vertical="center"/>
      <protection hidden="1"/>
    </xf>
    <xf numFmtId="0" fontId="16" fillId="3" borderId="0" xfId="0" applyFont="1" applyFill="1" applyBorder="1" applyAlignment="1" applyProtection="1">
      <protection hidden="1"/>
    </xf>
    <xf numFmtId="182" fontId="4" fillId="3" borderId="0" xfId="0" applyNumberFormat="1" applyFont="1" applyFill="1" applyBorder="1" applyAlignment="1" applyProtection="1">
      <alignment horizontal="center"/>
      <protection locked="0" hidden="1"/>
    </xf>
    <xf numFmtId="0" fontId="78" fillId="27" borderId="21" xfId="5" applyNumberFormat="1" applyFont="1" applyFill="1" applyBorder="1" applyAlignment="1" applyProtection="1">
      <alignment horizontal="center"/>
    </xf>
    <xf numFmtId="0" fontId="79" fillId="27" borderId="21" xfId="5" applyNumberFormat="1" applyFont="1" applyFill="1" applyBorder="1" applyAlignment="1" applyProtection="1">
      <alignment horizontal="center"/>
    </xf>
    <xf numFmtId="0" fontId="80" fillId="28" borderId="21" xfId="5" applyNumberFormat="1" applyFont="1" applyFill="1" applyBorder="1" applyAlignment="1" applyProtection="1">
      <alignment horizontal="center"/>
    </xf>
    <xf numFmtId="0" fontId="7" fillId="0" borderId="21" xfId="6" applyNumberFormat="1" applyBorder="1" applyAlignment="1" applyProtection="1">
      <alignment horizontal="center" wrapText="1"/>
      <protection locked="0"/>
    </xf>
    <xf numFmtId="0" fontId="50" fillId="3" borderId="0" xfId="0" applyFont="1" applyFill="1" applyAlignment="1" applyProtection="1">
      <protection hidden="1"/>
    </xf>
    <xf numFmtId="0" fontId="84" fillId="3" borderId="0" xfId="0" applyFont="1" applyFill="1" applyProtection="1">
      <protection hidden="1"/>
    </xf>
    <xf numFmtId="0" fontId="4" fillId="3" borderId="52" xfId="0" applyFont="1" applyFill="1" applyBorder="1" applyAlignment="1" applyProtection="1">
      <alignment horizontal="center" vertical="center"/>
      <protection hidden="1"/>
    </xf>
    <xf numFmtId="167" fontId="14" fillId="3" borderId="52" xfId="0" quotePrefix="1" applyNumberFormat="1" applyFont="1" applyFill="1" applyBorder="1" applyAlignment="1" applyProtection="1">
      <alignment horizontal="center"/>
      <protection hidden="1"/>
    </xf>
    <xf numFmtId="168" fontId="14" fillId="3" borderId="52" xfId="0" applyNumberFormat="1" applyFont="1" applyFill="1" applyBorder="1" applyAlignment="1" applyProtection="1">
      <alignment horizontal="center"/>
      <protection hidden="1"/>
    </xf>
    <xf numFmtId="166" fontId="14" fillId="3" borderId="52" xfId="0" applyNumberFormat="1" applyFont="1" applyFill="1" applyBorder="1" applyAlignment="1" applyProtection="1">
      <alignment horizontal="center"/>
      <protection hidden="1"/>
    </xf>
    <xf numFmtId="0" fontId="4" fillId="0" borderId="10" xfId="0" applyNumberFormat="1" applyFont="1" applyFill="1" applyBorder="1" applyAlignment="1" applyProtection="1">
      <alignment horizontal="center"/>
      <protection hidden="1"/>
    </xf>
    <xf numFmtId="171" fontId="4" fillId="3" borderId="10" xfId="0" applyNumberFormat="1" applyFont="1" applyFill="1" applyBorder="1" applyAlignment="1" applyProtection="1">
      <alignment horizontal="center"/>
      <protection hidden="1"/>
    </xf>
    <xf numFmtId="0" fontId="4" fillId="3" borderId="38" xfId="0" applyFont="1" applyFill="1" applyBorder="1" applyProtection="1">
      <protection hidden="1"/>
    </xf>
    <xf numFmtId="0" fontId="4" fillId="0" borderId="10" xfId="0" applyFont="1" applyBorder="1" applyAlignment="1" applyProtection="1">
      <alignment horizontal="center" vertical="center"/>
      <protection hidden="1"/>
    </xf>
    <xf numFmtId="167" fontId="14" fillId="3" borderId="10" xfId="0" quotePrefix="1" applyNumberFormat="1" applyFont="1" applyFill="1" applyBorder="1" applyAlignment="1" applyProtection="1">
      <alignment horizontal="center"/>
      <protection hidden="1"/>
    </xf>
    <xf numFmtId="168" fontId="14" fillId="3" borderId="10" xfId="0" applyNumberFormat="1" applyFont="1" applyFill="1" applyBorder="1" applyAlignment="1" applyProtection="1">
      <alignment horizontal="center"/>
      <protection hidden="1"/>
    </xf>
    <xf numFmtId="166" fontId="14" fillId="3" borderId="10" xfId="0" applyNumberFormat="1" applyFont="1" applyFill="1" applyBorder="1" applyAlignment="1" applyProtection="1">
      <alignment horizontal="center"/>
      <protection hidden="1"/>
    </xf>
    <xf numFmtId="0" fontId="4" fillId="3" borderId="58" xfId="0" applyFont="1" applyFill="1" applyBorder="1" applyAlignment="1" applyProtection="1">
      <alignment horizontal="center" vertical="center"/>
      <protection hidden="1"/>
    </xf>
    <xf numFmtId="167" fontId="14" fillId="3" borderId="58" xfId="0" quotePrefix="1" applyNumberFormat="1" applyFont="1" applyFill="1" applyBorder="1" applyAlignment="1" applyProtection="1">
      <alignment horizontal="center"/>
      <protection hidden="1"/>
    </xf>
    <xf numFmtId="168" fontId="14" fillId="3" borderId="58" xfId="0" applyNumberFormat="1" applyFont="1" applyFill="1" applyBorder="1" applyAlignment="1" applyProtection="1">
      <alignment horizontal="center"/>
      <protection hidden="1"/>
    </xf>
    <xf numFmtId="166" fontId="14" fillId="3" borderId="58" xfId="0" applyNumberFormat="1" applyFont="1" applyFill="1" applyBorder="1" applyAlignment="1" applyProtection="1">
      <alignment horizontal="center"/>
      <protection hidden="1"/>
    </xf>
    <xf numFmtId="171" fontId="4" fillId="3" borderId="61" xfId="0" applyNumberFormat="1" applyFont="1" applyFill="1" applyBorder="1" applyAlignment="1" applyProtection="1">
      <alignment horizontal="center"/>
      <protection hidden="1"/>
    </xf>
    <xf numFmtId="0" fontId="4" fillId="3" borderId="10" xfId="0" applyFont="1" applyFill="1" applyBorder="1" applyAlignment="1" applyProtection="1">
      <alignment horizontal="center" vertical="center"/>
      <protection hidden="1"/>
    </xf>
    <xf numFmtId="0" fontId="4" fillId="8" borderId="10" xfId="0" applyFont="1" applyFill="1" applyBorder="1" applyAlignment="1" applyProtection="1">
      <protection hidden="1"/>
    </xf>
    <xf numFmtId="167" fontId="19" fillId="3" borderId="10" xfId="0" quotePrefix="1" applyNumberFormat="1" applyFont="1" applyFill="1" applyBorder="1" applyAlignment="1" applyProtection="1">
      <alignment horizontal="center"/>
      <protection hidden="1"/>
    </xf>
    <xf numFmtId="168" fontId="19" fillId="3" borderId="10" xfId="0" applyNumberFormat="1" applyFont="1" applyFill="1" applyBorder="1" applyAlignment="1" applyProtection="1">
      <alignment horizontal="center"/>
      <protection hidden="1"/>
    </xf>
    <xf numFmtId="166" fontId="19" fillId="3" borderId="10" xfId="0" applyNumberFormat="1" applyFont="1" applyFill="1" applyBorder="1" applyAlignment="1" applyProtection="1">
      <alignment horizontal="center"/>
      <protection hidden="1"/>
    </xf>
    <xf numFmtId="171" fontId="19" fillId="3" borderId="10" xfId="0" applyNumberFormat="1" applyFont="1" applyFill="1" applyBorder="1" applyAlignment="1" applyProtection="1">
      <alignment horizontal="center"/>
      <protection hidden="1"/>
    </xf>
    <xf numFmtId="0" fontId="0" fillId="3" borderId="0" xfId="0" applyFill="1" applyAlignment="1">
      <alignment horizontal="center"/>
    </xf>
    <xf numFmtId="49" fontId="4" fillId="3" borderId="15" xfId="0" applyNumberFormat="1" applyFont="1" applyFill="1" applyBorder="1" applyAlignment="1" applyProtection="1">
      <protection hidden="1"/>
    </xf>
    <xf numFmtId="0" fontId="4" fillId="3" borderId="26" xfId="0" applyFont="1" applyFill="1" applyBorder="1" applyAlignment="1" applyProtection="1">
      <protection hidden="1"/>
    </xf>
    <xf numFmtId="168" fontId="17" fillId="6" borderId="24" xfId="0" applyNumberFormat="1" applyFont="1" applyFill="1" applyBorder="1" applyAlignment="1" applyProtection="1">
      <alignment horizontal="center"/>
      <protection hidden="1"/>
    </xf>
    <xf numFmtId="0" fontId="85" fillId="3" borderId="6" xfId="0" applyFont="1" applyFill="1" applyBorder="1" applyAlignment="1" applyProtection="1">
      <alignment horizontal="right"/>
      <protection locked="0" hidden="1"/>
    </xf>
    <xf numFmtId="0" fontId="85" fillId="3" borderId="9" xfId="0" applyFont="1" applyFill="1" applyBorder="1" applyAlignment="1" applyProtection="1">
      <alignment horizontal="right"/>
      <protection locked="0" hidden="1"/>
    </xf>
    <xf numFmtId="177" fontId="16" fillId="3" borderId="7" xfId="0" applyNumberFormat="1" applyFont="1" applyFill="1" applyBorder="1" applyAlignment="1" applyProtection="1">
      <alignment horizontal="center"/>
      <protection hidden="1"/>
    </xf>
    <xf numFmtId="177" fontId="16" fillId="3" borderId="27" xfId="0" applyNumberFormat="1" applyFont="1" applyFill="1" applyBorder="1" applyAlignment="1" applyProtection="1">
      <alignment horizontal="center"/>
      <protection hidden="1"/>
    </xf>
    <xf numFmtId="0" fontId="24" fillId="3" borderId="0" xfId="0" applyFont="1" applyFill="1" applyAlignment="1" applyProtection="1">
      <alignment horizontal="center"/>
      <protection locked="0" hidden="1"/>
    </xf>
    <xf numFmtId="49" fontId="4" fillId="3" borderId="9" xfId="0" applyNumberFormat="1" applyFont="1" applyFill="1" applyBorder="1" applyAlignment="1" applyProtection="1">
      <alignment horizontal="left"/>
      <protection locked="0" hidden="1"/>
    </xf>
    <xf numFmtId="168" fontId="4" fillId="3" borderId="9" xfId="0" applyNumberFormat="1" applyFont="1" applyFill="1" applyBorder="1" applyAlignment="1" applyProtection="1">
      <alignment horizontal="left"/>
      <protection locked="0" hidden="1"/>
    </xf>
    <xf numFmtId="49" fontId="4" fillId="3" borderId="9" xfId="0" applyNumberFormat="1" applyFont="1" applyFill="1" applyBorder="1" applyAlignment="1" applyProtection="1">
      <protection locked="0" hidden="1"/>
    </xf>
    <xf numFmtId="0" fontId="4" fillId="3" borderId="26" xfId="0" applyNumberFormat="1" applyFont="1" applyFill="1" applyBorder="1" applyAlignment="1" applyProtection="1">
      <protection locked="0" hidden="1"/>
    </xf>
    <xf numFmtId="164" fontId="60" fillId="3" borderId="37" xfId="4" applyNumberFormat="1" applyFont="1" applyFill="1" applyBorder="1" applyAlignment="1">
      <alignment horizontal="center" vertical="center" wrapText="1" readingOrder="1"/>
    </xf>
    <xf numFmtId="164" fontId="60" fillId="3" borderId="53" xfId="4" applyNumberFormat="1" applyFont="1" applyFill="1" applyBorder="1" applyAlignment="1">
      <alignment horizontal="center" vertical="center" wrapText="1" readingOrder="1"/>
    </xf>
    <xf numFmtId="164" fontId="60" fillId="3" borderId="55" xfId="4" applyNumberFormat="1" applyFont="1" applyFill="1" applyBorder="1" applyAlignment="1">
      <alignment horizontal="center" vertical="center" wrapText="1" readingOrder="1"/>
    </xf>
    <xf numFmtId="173" fontId="14" fillId="3" borderId="52" xfId="3" applyNumberFormat="1" applyFont="1" applyFill="1" applyBorder="1" applyAlignment="1" applyProtection="1">
      <alignment horizontal="center" vertical="center" wrapText="1"/>
      <protection hidden="1"/>
    </xf>
    <xf numFmtId="179" fontId="14" fillId="3" borderId="52" xfId="3" applyNumberFormat="1" applyFont="1" applyFill="1" applyBorder="1" applyAlignment="1" applyProtection="1">
      <alignment horizontal="center" vertical="center" wrapText="1"/>
      <protection hidden="1"/>
    </xf>
    <xf numFmtId="180" fontId="14" fillId="3" borderId="52" xfId="3" applyNumberFormat="1" applyFont="1" applyFill="1" applyBorder="1" applyAlignment="1" applyProtection="1">
      <alignment horizontal="center" vertical="center" wrapText="1"/>
      <protection hidden="1"/>
    </xf>
    <xf numFmtId="178" fontId="19" fillId="3" borderId="52" xfId="3" applyNumberFormat="1" applyFont="1" applyFill="1" applyBorder="1" applyAlignment="1" applyProtection="1">
      <alignment horizontal="center" vertical="center" wrapText="1"/>
      <protection hidden="1"/>
    </xf>
    <xf numFmtId="168" fontId="17" fillId="6" borderId="19" xfId="0" applyNumberFormat="1" applyFont="1" applyFill="1" applyBorder="1" applyAlignment="1" applyProtection="1">
      <alignment horizontal="center" vertical="center"/>
      <protection hidden="1"/>
    </xf>
    <xf numFmtId="168" fontId="17" fillId="3" borderId="4" xfId="0" applyNumberFormat="1" applyFont="1" applyFill="1" applyBorder="1" applyAlignment="1" applyProtection="1">
      <alignment horizontal="center"/>
      <protection locked="0" hidden="1"/>
    </xf>
    <xf numFmtId="170" fontId="16" fillId="3" borderId="10" xfId="0" applyNumberFormat="1" applyFont="1" applyFill="1" applyBorder="1" applyAlignment="1" applyProtection="1">
      <alignment horizontal="center"/>
      <protection locked="0" hidden="1"/>
    </xf>
    <xf numFmtId="168" fontId="4" fillId="3" borderId="26" xfId="0" applyNumberFormat="1" applyFont="1" applyFill="1" applyBorder="1" applyAlignment="1" applyProtection="1">
      <alignment horizontal="left"/>
      <protection locked="0" hidden="1"/>
    </xf>
    <xf numFmtId="170" fontId="16" fillId="3" borderId="27" xfId="0" applyNumberFormat="1" applyFont="1" applyFill="1" applyBorder="1" applyAlignment="1" applyProtection="1">
      <alignment horizontal="center"/>
      <protection locked="0" hidden="1"/>
    </xf>
    <xf numFmtId="0" fontId="87" fillId="0" borderId="0" xfId="0" applyFont="1"/>
    <xf numFmtId="49" fontId="58" fillId="3" borderId="10" xfId="0" applyNumberFormat="1" applyFont="1" applyFill="1" applyBorder="1" applyAlignment="1">
      <alignment horizontal="center" vertical="center" wrapText="1" readingOrder="1"/>
    </xf>
    <xf numFmtId="166" fontId="43" fillId="3" borderId="59" xfId="0" applyNumberFormat="1" applyFont="1" applyFill="1" applyBorder="1" applyAlignment="1">
      <alignment horizontal="center" vertical="center"/>
    </xf>
    <xf numFmtId="166" fontId="43" fillId="3" borderId="58" xfId="0" applyNumberFormat="1" applyFont="1" applyFill="1" applyBorder="1" applyAlignment="1">
      <alignment horizontal="center" vertical="center"/>
    </xf>
    <xf numFmtId="164" fontId="65" fillId="3" borderId="32" xfId="4" applyNumberFormat="1" applyFont="1" applyFill="1" applyBorder="1" applyAlignment="1">
      <alignment horizontal="center" vertical="center" wrapText="1" readingOrder="1"/>
    </xf>
    <xf numFmtId="164" fontId="65" fillId="3" borderId="65" xfId="4" applyNumberFormat="1" applyFont="1" applyFill="1" applyBorder="1" applyAlignment="1">
      <alignment horizontal="center" vertical="center" wrapText="1" readingOrder="1"/>
    </xf>
    <xf numFmtId="2" fontId="65" fillId="3" borderId="32" xfId="0" applyNumberFormat="1" applyFont="1" applyFill="1" applyBorder="1" applyAlignment="1">
      <alignment horizontal="center" vertical="center" wrapText="1" readingOrder="1"/>
    </xf>
    <xf numFmtId="2" fontId="65" fillId="3" borderId="90" xfId="0" applyNumberFormat="1" applyFont="1" applyFill="1" applyBorder="1" applyAlignment="1">
      <alignment horizontal="center" vertical="center" wrapText="1" readingOrder="1"/>
    </xf>
    <xf numFmtId="2" fontId="65" fillId="3" borderId="56" xfId="0" applyNumberFormat="1" applyFont="1" applyFill="1" applyBorder="1" applyAlignment="1">
      <alignment horizontal="center" vertical="center" wrapText="1" readingOrder="1"/>
    </xf>
    <xf numFmtId="2" fontId="65" fillId="3" borderId="33" xfId="0" applyNumberFormat="1" applyFont="1" applyFill="1" applyBorder="1" applyAlignment="1">
      <alignment horizontal="center" vertical="center" wrapText="1" readingOrder="1"/>
    </xf>
    <xf numFmtId="49" fontId="43" fillId="3" borderId="58" xfId="0" applyNumberFormat="1" applyFont="1" applyFill="1" applyBorder="1" applyAlignment="1">
      <alignment horizontal="center" vertical="center"/>
    </xf>
    <xf numFmtId="168" fontId="43" fillId="3" borderId="59" xfId="0" applyNumberFormat="1" applyFont="1" applyFill="1" applyBorder="1" applyAlignment="1">
      <alignment horizontal="center" vertical="center"/>
    </xf>
    <xf numFmtId="168" fontId="43" fillId="3" borderId="58" xfId="0" applyNumberFormat="1" applyFont="1" applyFill="1" applyBorder="1" applyAlignment="1">
      <alignment horizontal="center" vertical="center"/>
    </xf>
    <xf numFmtId="9" fontId="43" fillId="3" borderId="58" xfId="1" applyFont="1" applyFill="1" applyBorder="1" applyAlignment="1">
      <alignment horizontal="center" vertical="center"/>
    </xf>
    <xf numFmtId="49" fontId="43" fillId="3" borderId="58" xfId="0" applyNumberFormat="1" applyFont="1" applyFill="1" applyBorder="1" applyAlignment="1">
      <alignment horizontal="center" vertical="center" wrapText="1" readingOrder="1"/>
    </xf>
    <xf numFmtId="0" fontId="43" fillId="3" borderId="58" xfId="0" applyFont="1" applyFill="1" applyBorder="1" applyAlignment="1">
      <alignment horizontal="center" vertical="center" wrapText="1"/>
    </xf>
    <xf numFmtId="164" fontId="56" fillId="3" borderId="59" xfId="4" applyNumberFormat="1" applyFont="1" applyFill="1" applyBorder="1" applyAlignment="1">
      <alignment horizontal="center" vertical="center" wrapText="1" readingOrder="1"/>
    </xf>
    <xf numFmtId="164" fontId="56" fillId="3" borderId="20" xfId="4" applyNumberFormat="1" applyFont="1" applyFill="1" applyBorder="1" applyAlignment="1">
      <alignment horizontal="center" vertical="center" wrapText="1" readingOrder="1"/>
    </xf>
    <xf numFmtId="49" fontId="56" fillId="3" borderId="33" xfId="0" applyNumberFormat="1" applyFont="1" applyFill="1" applyBorder="1" applyAlignment="1">
      <alignment horizontal="center" vertical="center" wrapText="1" readingOrder="1"/>
    </xf>
    <xf numFmtId="49" fontId="56" fillId="3" borderId="65" xfId="0" applyNumberFormat="1" applyFont="1" applyFill="1" applyBorder="1" applyAlignment="1">
      <alignment horizontal="center" vertical="center" wrapText="1" readingOrder="1"/>
    </xf>
    <xf numFmtId="164" fontId="56" fillId="12" borderId="20" xfId="4" applyNumberFormat="1" applyFont="1" applyFill="1" applyBorder="1" applyAlignment="1">
      <alignment horizontal="center" vertical="center" wrapText="1" readingOrder="1"/>
    </xf>
    <xf numFmtId="164" fontId="56" fillId="12" borderId="61" xfId="4" applyNumberFormat="1" applyFont="1" applyFill="1" applyBorder="1" applyAlignment="1">
      <alignment horizontal="center" vertical="center" wrapText="1" readingOrder="1"/>
    </xf>
    <xf numFmtId="164" fontId="56" fillId="12" borderId="29" xfId="4" applyNumberFormat="1" applyFont="1" applyFill="1" applyBorder="1" applyAlignment="1">
      <alignment horizontal="center" vertical="center" wrapText="1" readingOrder="1"/>
    </xf>
    <xf numFmtId="164" fontId="56" fillId="12" borderId="60" xfId="4" applyNumberFormat="1" applyFont="1" applyFill="1" applyBorder="1" applyAlignment="1">
      <alignment horizontal="center" vertical="center" wrapText="1" readingOrder="1"/>
    </xf>
    <xf numFmtId="164" fontId="56" fillId="3" borderId="29" xfId="4" applyNumberFormat="1" applyFont="1" applyFill="1" applyBorder="1" applyAlignment="1">
      <alignment horizontal="center" vertical="center" wrapText="1" readingOrder="1"/>
    </xf>
    <xf numFmtId="49" fontId="58" fillId="3" borderId="59" xfId="0" applyNumberFormat="1" applyFont="1" applyFill="1" applyBorder="1" applyAlignment="1">
      <alignment horizontal="center" vertical="center" wrapText="1" readingOrder="1"/>
    </xf>
    <xf numFmtId="49" fontId="58" fillId="3" borderId="58" xfId="0" applyNumberFormat="1" applyFont="1" applyFill="1" applyBorder="1" applyAlignment="1">
      <alignment horizontal="center" vertical="center" wrapText="1" readingOrder="1"/>
    </xf>
    <xf numFmtId="49" fontId="7" fillId="3" borderId="59" xfId="0" applyNumberFormat="1" applyFont="1" applyFill="1" applyBorder="1" applyAlignment="1">
      <alignment horizontal="center" vertical="center" wrapText="1" readingOrder="1"/>
    </xf>
    <xf numFmtId="49" fontId="7" fillId="3" borderId="58" xfId="0" applyNumberFormat="1" applyFont="1" applyFill="1" applyBorder="1" applyAlignment="1">
      <alignment horizontal="center" vertical="center" wrapText="1" readingOrder="1"/>
    </xf>
    <xf numFmtId="2" fontId="65" fillId="3" borderId="65" xfId="0" applyNumberFormat="1" applyFont="1" applyFill="1" applyBorder="1" applyAlignment="1">
      <alignment horizontal="center" vertical="center" wrapText="1" readingOrder="1"/>
    </xf>
    <xf numFmtId="164" fontId="56" fillId="14" borderId="32" xfId="4" applyNumberFormat="1" applyFont="1" applyFill="1" applyBorder="1" applyAlignment="1">
      <alignment horizontal="center" vertical="center" wrapText="1" readingOrder="1"/>
    </xf>
    <xf numFmtId="49" fontId="56" fillId="14" borderId="65" xfId="0" applyNumberFormat="1" applyFont="1" applyFill="1" applyBorder="1" applyAlignment="1">
      <alignment horizontal="center" vertical="center" wrapText="1" readingOrder="1"/>
    </xf>
    <xf numFmtId="49" fontId="56" fillId="3" borderId="32" xfId="0" applyNumberFormat="1" applyFont="1" applyFill="1" applyBorder="1" applyAlignment="1">
      <alignment horizontal="center" vertical="center" wrapText="1" readingOrder="1"/>
    </xf>
    <xf numFmtId="49" fontId="43" fillId="0" borderId="58" xfId="0" applyNumberFormat="1" applyFont="1" applyFill="1" applyBorder="1" applyAlignment="1">
      <alignment horizontal="center" vertical="center" wrapText="1" readingOrder="1"/>
    </xf>
    <xf numFmtId="49" fontId="43" fillId="0" borderId="33" xfId="0" applyNumberFormat="1" applyFont="1" applyFill="1" applyBorder="1" applyAlignment="1">
      <alignment horizontal="center" vertical="center" wrapText="1" readingOrder="1"/>
    </xf>
    <xf numFmtId="49" fontId="7" fillId="0" borderId="59" xfId="0" applyNumberFormat="1" applyFont="1" applyFill="1" applyBorder="1" applyAlignment="1">
      <alignment horizontal="center" vertical="center" wrapText="1" readingOrder="1"/>
    </xf>
    <xf numFmtId="49" fontId="58" fillId="0" borderId="59" xfId="0" applyNumberFormat="1" applyFont="1" applyFill="1" applyBorder="1" applyAlignment="1">
      <alignment horizontal="center" vertical="center" wrapText="1" readingOrder="1"/>
    </xf>
    <xf numFmtId="49" fontId="58" fillId="0" borderId="58" xfId="0" applyNumberFormat="1" applyFont="1" applyFill="1" applyBorder="1" applyAlignment="1">
      <alignment horizontal="center" vertical="center" wrapText="1" readingOrder="1"/>
    </xf>
    <xf numFmtId="49" fontId="58" fillId="0" borderId="33" xfId="0" applyNumberFormat="1" applyFont="1" applyFill="1" applyBorder="1" applyAlignment="1">
      <alignment horizontal="center" vertical="center" wrapText="1" readingOrder="1"/>
    </xf>
    <xf numFmtId="2" fontId="58" fillId="0" borderId="53" xfId="0" applyNumberFormat="1" applyFont="1" applyFill="1" applyBorder="1" applyAlignment="1">
      <alignment horizontal="center" vertical="center" wrapText="1" readingOrder="1"/>
    </xf>
    <xf numFmtId="0" fontId="43" fillId="0" borderId="81" xfId="0" applyFont="1" applyBorder="1" applyAlignment="1">
      <alignment horizontal="center" vertical="center"/>
    </xf>
    <xf numFmtId="0" fontId="43" fillId="0" borderId="85" xfId="0" applyFont="1" applyBorder="1" applyAlignment="1">
      <alignment horizontal="center" vertical="center"/>
    </xf>
    <xf numFmtId="0" fontId="43" fillId="0" borderId="59" xfId="0" applyFont="1" applyBorder="1" applyAlignment="1">
      <alignment horizontal="center" vertical="center" wrapText="1"/>
    </xf>
    <xf numFmtId="0" fontId="43" fillId="0" borderId="58" xfId="0" applyFont="1" applyBorder="1" applyAlignment="1">
      <alignment horizontal="center" vertical="center" wrapText="1"/>
    </xf>
    <xf numFmtId="49" fontId="43" fillId="0" borderId="58" xfId="0" applyNumberFormat="1" applyFont="1" applyFill="1" applyBorder="1" applyAlignment="1">
      <alignment horizontal="center" vertical="center"/>
    </xf>
    <xf numFmtId="49" fontId="7" fillId="0" borderId="54" xfId="0" applyNumberFormat="1" applyFont="1" applyFill="1" applyBorder="1" applyAlignment="1">
      <alignment horizontal="center" vertical="center" wrapText="1" readingOrder="1"/>
    </xf>
    <xf numFmtId="49" fontId="69" fillId="0" borderId="59" xfId="0" applyNumberFormat="1" applyFont="1" applyFill="1" applyBorder="1" applyAlignment="1">
      <alignment horizontal="center" vertical="center" wrapText="1" readingOrder="1"/>
    </xf>
    <xf numFmtId="49" fontId="58" fillId="0" borderId="10" xfId="0" applyNumberFormat="1" applyFont="1" applyFill="1" applyBorder="1" applyAlignment="1">
      <alignment horizontal="center" vertical="center" wrapText="1" readingOrder="1"/>
    </xf>
    <xf numFmtId="49" fontId="58" fillId="0" borderId="0" xfId="0" applyNumberFormat="1" applyFont="1" applyFill="1" applyBorder="1" applyAlignment="1">
      <alignment horizontal="center" vertical="center" wrapText="1" readingOrder="1"/>
    </xf>
    <xf numFmtId="0" fontId="43" fillId="3" borderId="58" xfId="0" applyFont="1" applyFill="1" applyBorder="1" applyAlignment="1">
      <alignment horizontal="center" vertical="center" wrapText="1" readingOrder="1"/>
    </xf>
    <xf numFmtId="0" fontId="43" fillId="3" borderId="33" xfId="0" applyFont="1" applyFill="1" applyBorder="1" applyAlignment="1">
      <alignment horizontal="center" vertical="center" wrapText="1" readingOrder="1"/>
    </xf>
    <xf numFmtId="168" fontId="43" fillId="3" borderId="33" xfId="0" applyNumberFormat="1" applyFont="1" applyFill="1" applyBorder="1" applyAlignment="1">
      <alignment horizontal="center" vertical="center"/>
    </xf>
    <xf numFmtId="166" fontId="43" fillId="3" borderId="33" xfId="0" applyNumberFormat="1" applyFont="1" applyFill="1" applyBorder="1" applyAlignment="1">
      <alignment horizontal="center" vertical="center"/>
    </xf>
    <xf numFmtId="0" fontId="43" fillId="9" borderId="59" xfId="0" applyFont="1" applyFill="1" applyBorder="1" applyAlignment="1">
      <alignment horizontal="center" vertical="center" wrapText="1" readingOrder="1"/>
    </xf>
    <xf numFmtId="0" fontId="43" fillId="9" borderId="58" xfId="0" applyFont="1" applyFill="1" applyBorder="1" applyAlignment="1">
      <alignment horizontal="center" vertical="center" wrapText="1" readingOrder="1"/>
    </xf>
    <xf numFmtId="0" fontId="43" fillId="0" borderId="33" xfId="0" applyFont="1" applyBorder="1" applyAlignment="1">
      <alignment horizontal="center" vertical="center" wrapText="1"/>
    </xf>
    <xf numFmtId="173" fontId="43" fillId="0" borderId="58" xfId="0" applyNumberFormat="1" applyFont="1" applyBorder="1" applyAlignment="1">
      <alignment horizontal="center" vertical="center"/>
    </xf>
    <xf numFmtId="49" fontId="58" fillId="15" borderId="59" xfId="0" applyNumberFormat="1" applyFont="1" applyFill="1" applyBorder="1" applyAlignment="1">
      <alignment horizontal="center" vertical="center" wrapText="1" readingOrder="1"/>
    </xf>
    <xf numFmtId="49" fontId="58" fillId="15" borderId="58" xfId="0" applyNumberFormat="1" applyFont="1" applyFill="1" applyBorder="1" applyAlignment="1">
      <alignment horizontal="center" vertical="center" wrapText="1" readingOrder="1"/>
    </xf>
    <xf numFmtId="0" fontId="43" fillId="0" borderId="10" xfId="0" applyFont="1" applyBorder="1" applyAlignment="1">
      <alignment horizontal="center" vertical="center" wrapText="1" readingOrder="1"/>
    </xf>
    <xf numFmtId="0" fontId="43" fillId="0" borderId="59" xfId="0" applyFont="1" applyBorder="1" applyAlignment="1">
      <alignment horizontal="center" vertical="center" wrapText="1" readingOrder="1"/>
    </xf>
    <xf numFmtId="0" fontId="43" fillId="0" borderId="58" xfId="0" applyFont="1" applyBorder="1" applyAlignment="1">
      <alignment horizontal="center" vertical="center" wrapText="1" readingOrder="1"/>
    </xf>
    <xf numFmtId="0" fontId="43" fillId="0" borderId="33" xfId="0" applyFont="1" applyBorder="1" applyAlignment="1">
      <alignment horizontal="center" vertical="center" wrapText="1" readingOrder="1"/>
    </xf>
    <xf numFmtId="49" fontId="7" fillId="15" borderId="10" xfId="0" applyNumberFormat="1" applyFont="1" applyFill="1" applyBorder="1" applyAlignment="1">
      <alignment horizontal="center" vertical="center" wrapText="1" readingOrder="1"/>
    </xf>
    <xf numFmtId="49" fontId="7" fillId="15" borderId="59" xfId="0" applyNumberFormat="1" applyFont="1" applyFill="1" applyBorder="1" applyAlignment="1">
      <alignment horizontal="center" vertical="center" wrapText="1" readingOrder="1"/>
    </xf>
    <xf numFmtId="49" fontId="7" fillId="3" borderId="10" xfId="0" applyNumberFormat="1" applyFont="1" applyFill="1" applyBorder="1" applyAlignment="1">
      <alignment horizontal="center" vertical="center" wrapText="1" readingOrder="1"/>
    </xf>
    <xf numFmtId="49" fontId="59" fillId="16" borderId="29" xfId="0" applyNumberFormat="1" applyFont="1" applyFill="1" applyBorder="1" applyAlignment="1">
      <alignment horizontal="center" vertical="center" readingOrder="1"/>
    </xf>
    <xf numFmtId="49" fontId="59" fillId="16" borderId="32" xfId="0" applyNumberFormat="1" applyFont="1" applyFill="1" applyBorder="1" applyAlignment="1">
      <alignment horizontal="center" vertical="center" readingOrder="1"/>
    </xf>
    <xf numFmtId="2" fontId="58" fillId="0" borderId="58" xfId="0" applyNumberFormat="1" applyFont="1" applyFill="1" applyBorder="1" applyAlignment="1">
      <alignment horizontal="center" vertical="center" wrapText="1" readingOrder="1"/>
    </xf>
    <xf numFmtId="0" fontId="47" fillId="18" borderId="41" xfId="0" applyFont="1" applyFill="1" applyBorder="1" applyAlignment="1">
      <alignment horizontal="center" vertical="center" wrapText="1" readingOrder="1"/>
    </xf>
    <xf numFmtId="0" fontId="47" fillId="18" borderId="10" xfId="0" applyFont="1" applyFill="1" applyBorder="1" applyAlignment="1">
      <alignment horizontal="center" vertical="center" wrapText="1" readingOrder="1"/>
    </xf>
    <xf numFmtId="0" fontId="0" fillId="3" borderId="0" xfId="0" applyFill="1" applyAlignment="1">
      <alignment horizontal="center"/>
    </xf>
    <xf numFmtId="0" fontId="10" fillId="3" borderId="0" xfId="0" applyFont="1" applyFill="1" applyAlignment="1">
      <alignment vertical="center" wrapText="1"/>
    </xf>
    <xf numFmtId="0" fontId="47" fillId="18" borderId="56" xfId="0" applyFont="1" applyFill="1" applyBorder="1" applyAlignment="1">
      <alignment vertical="center" wrapText="1" readingOrder="1"/>
    </xf>
    <xf numFmtId="0" fontId="47" fillId="18" borderId="41" xfId="0" applyFont="1" applyFill="1" applyBorder="1" applyAlignment="1">
      <alignment vertical="center" wrapText="1" readingOrder="1"/>
    </xf>
    <xf numFmtId="49" fontId="59" fillId="16" borderId="11" xfId="0" applyNumberFormat="1" applyFont="1" applyFill="1" applyBorder="1" applyAlignment="1">
      <alignment horizontal="center" vertical="center" readingOrder="1"/>
    </xf>
    <xf numFmtId="49" fontId="43" fillId="3" borderId="0" xfId="0" applyNumberFormat="1" applyFont="1" applyFill="1" applyBorder="1" applyAlignment="1">
      <alignment horizontal="center" vertical="center"/>
    </xf>
    <xf numFmtId="49" fontId="59" fillId="16" borderId="53" xfId="0" applyNumberFormat="1" applyFont="1" applyFill="1" applyBorder="1" applyAlignment="1">
      <alignment horizontal="center" vertical="center" readingOrder="1"/>
    </xf>
    <xf numFmtId="49" fontId="59" fillId="16" borderId="56" xfId="0" applyNumberFormat="1" applyFont="1" applyFill="1" applyBorder="1" applyAlignment="1">
      <alignment horizontal="center" vertical="center" readingOrder="1"/>
    </xf>
    <xf numFmtId="49" fontId="56" fillId="15" borderId="11" xfId="0" applyNumberFormat="1" applyFont="1" applyFill="1" applyBorder="1" applyAlignment="1">
      <alignment horizontal="center" vertical="center" wrapText="1" readingOrder="1"/>
    </xf>
    <xf numFmtId="164" fontId="56" fillId="12" borderId="11" xfId="4" applyNumberFormat="1" applyFont="1" applyFill="1" applyBorder="1" applyAlignment="1">
      <alignment horizontal="center" vertical="center" wrapText="1" readingOrder="1"/>
    </xf>
    <xf numFmtId="164" fontId="60" fillId="3" borderId="38" xfId="4" applyNumberFormat="1" applyFont="1" applyFill="1" applyBorder="1" applyAlignment="1">
      <alignment horizontal="center" vertical="center" wrapText="1" readingOrder="1"/>
    </xf>
    <xf numFmtId="164" fontId="76" fillId="23" borderId="38" xfId="4" applyNumberFormat="1" applyFont="1" applyFill="1" applyBorder="1" applyAlignment="1">
      <alignment horizontal="center" vertical="center" wrapText="1" readingOrder="1"/>
    </xf>
    <xf numFmtId="164" fontId="60" fillId="23" borderId="38" xfId="4" applyNumberFormat="1" applyFont="1" applyFill="1" applyBorder="1" applyAlignment="1">
      <alignment horizontal="center" vertical="center" wrapText="1" readingOrder="1"/>
    </xf>
    <xf numFmtId="49" fontId="46" fillId="3" borderId="41" xfId="0" applyNumberFormat="1" applyFont="1" applyFill="1" applyBorder="1" applyAlignment="1">
      <alignment horizontal="center" vertical="center" wrapText="1" readingOrder="1"/>
    </xf>
    <xf numFmtId="164" fontId="56" fillId="15" borderId="75" xfId="0" applyNumberFormat="1" applyFont="1" applyFill="1" applyBorder="1" applyAlignment="1">
      <alignment horizontal="center" vertical="center" wrapText="1" readingOrder="1"/>
    </xf>
    <xf numFmtId="164" fontId="56" fillId="13" borderId="69" xfId="4" applyNumberFormat="1" applyFont="1" applyFill="1" applyBorder="1" applyAlignment="1">
      <alignment horizontal="center" vertical="center" wrapText="1" readingOrder="1"/>
    </xf>
    <xf numFmtId="49" fontId="59" fillId="16" borderId="23" xfId="0" applyNumberFormat="1" applyFont="1" applyFill="1" applyBorder="1" applyAlignment="1">
      <alignment horizontal="center" vertical="center" readingOrder="1"/>
    </xf>
    <xf numFmtId="164" fontId="56" fillId="15" borderId="60" xfId="0" applyNumberFormat="1" applyFont="1" applyFill="1" applyBorder="1" applyAlignment="1">
      <alignment horizontal="center" vertical="center" wrapText="1" readingOrder="1"/>
    </xf>
    <xf numFmtId="164" fontId="56" fillId="15" borderId="58" xfId="0" applyNumberFormat="1" applyFont="1" applyFill="1" applyBorder="1" applyAlignment="1">
      <alignment horizontal="center" vertical="center" wrapText="1" readingOrder="1"/>
    </xf>
    <xf numFmtId="164" fontId="56" fillId="15" borderId="54" xfId="0" applyNumberFormat="1" applyFont="1" applyFill="1" applyBorder="1" applyAlignment="1">
      <alignment horizontal="center" vertical="center" wrapText="1" readingOrder="1"/>
    </xf>
    <xf numFmtId="164" fontId="56" fillId="15" borderId="61" xfId="0" applyNumberFormat="1" applyFont="1" applyFill="1" applyBorder="1" applyAlignment="1">
      <alignment horizontal="center" vertical="center" wrapText="1" readingOrder="1"/>
    </xf>
    <xf numFmtId="164" fontId="56" fillId="12" borderId="76" xfId="4" applyNumberFormat="1" applyFont="1" applyFill="1" applyBorder="1" applyAlignment="1">
      <alignment horizontal="center" vertical="center" wrapText="1" readingOrder="1"/>
    </xf>
    <xf numFmtId="164" fontId="56" fillId="3" borderId="76" xfId="4" applyNumberFormat="1" applyFont="1" applyFill="1" applyBorder="1" applyAlignment="1">
      <alignment horizontal="center" vertical="center" wrapText="1" readingOrder="1"/>
    </xf>
    <xf numFmtId="164" fontId="56" fillId="3" borderId="78" xfId="4" applyNumberFormat="1" applyFont="1" applyFill="1" applyBorder="1" applyAlignment="1">
      <alignment horizontal="center" vertical="center" wrapText="1" readingOrder="1"/>
    </xf>
    <xf numFmtId="49" fontId="58" fillId="0" borderId="77" xfId="0" applyNumberFormat="1" applyFont="1" applyFill="1" applyBorder="1" applyAlignment="1">
      <alignment horizontal="center" vertical="center" wrapText="1" readingOrder="1"/>
    </xf>
    <xf numFmtId="164" fontId="56" fillId="23" borderId="97" xfId="4" applyNumberFormat="1" applyFont="1" applyFill="1" applyBorder="1" applyAlignment="1">
      <alignment horizontal="center" vertical="center" wrapText="1" readingOrder="1"/>
    </xf>
    <xf numFmtId="164" fontId="56" fillId="13" borderId="100" xfId="4" applyNumberFormat="1" applyFont="1" applyFill="1" applyBorder="1" applyAlignment="1">
      <alignment horizontal="center" vertical="center" wrapText="1" readingOrder="1"/>
    </xf>
    <xf numFmtId="164" fontId="56" fillId="12" borderId="80" xfId="4" applyNumberFormat="1" applyFont="1" applyFill="1" applyBorder="1" applyAlignment="1">
      <alignment horizontal="center" vertical="center" wrapText="1" readingOrder="1"/>
    </xf>
    <xf numFmtId="164" fontId="56" fillId="12" borderId="81" xfId="4" applyNumberFormat="1" applyFont="1" applyFill="1" applyBorder="1" applyAlignment="1">
      <alignment horizontal="center" vertical="center" wrapText="1" readingOrder="1"/>
    </xf>
    <xf numFmtId="164" fontId="56" fillId="12" borderId="90" xfId="4" applyNumberFormat="1" applyFont="1" applyFill="1" applyBorder="1" applyAlignment="1">
      <alignment horizontal="center" vertical="center" wrapText="1" readingOrder="1"/>
    </xf>
    <xf numFmtId="164" fontId="56" fillId="12" borderId="82" xfId="4" applyNumberFormat="1" applyFont="1" applyFill="1" applyBorder="1" applyAlignment="1">
      <alignment horizontal="center" vertical="center" wrapText="1" readingOrder="1"/>
    </xf>
    <xf numFmtId="164" fontId="62" fillId="12" borderId="100" xfId="0" applyNumberFormat="1" applyFont="1" applyFill="1" applyBorder="1" applyAlignment="1">
      <alignment horizontal="center" vertical="center" wrapText="1" readingOrder="1"/>
    </xf>
    <xf numFmtId="164" fontId="62" fillId="12" borderId="90" xfId="0" applyNumberFormat="1" applyFont="1" applyFill="1" applyBorder="1" applyAlignment="1">
      <alignment horizontal="center" vertical="center" wrapText="1" readingOrder="1"/>
    </xf>
    <xf numFmtId="164" fontId="62" fillId="12" borderId="87" xfId="0" applyNumberFormat="1" applyFont="1" applyFill="1" applyBorder="1" applyAlignment="1">
      <alignment horizontal="center" vertical="center" wrapText="1" readingOrder="1"/>
    </xf>
    <xf numFmtId="164" fontId="56" fillId="13" borderId="75" xfId="0" applyNumberFormat="1" applyFont="1" applyFill="1" applyBorder="1" applyAlignment="1">
      <alignment horizontal="center" vertical="center" wrapText="1" readingOrder="1"/>
    </xf>
    <xf numFmtId="49" fontId="7" fillId="0" borderId="56" xfId="0" quotePrefix="1" applyNumberFormat="1" applyFont="1" applyFill="1" applyBorder="1" applyAlignment="1">
      <alignment vertical="center" wrapText="1" readingOrder="1"/>
    </xf>
    <xf numFmtId="49" fontId="7" fillId="0" borderId="41" xfId="0" quotePrefix="1" applyNumberFormat="1" applyFont="1" applyFill="1" applyBorder="1" applyAlignment="1">
      <alignment vertical="center" wrapText="1" readingOrder="1"/>
    </xf>
    <xf numFmtId="164" fontId="56" fillId="15" borderId="70" xfId="4" applyNumberFormat="1" applyFont="1" applyFill="1" applyBorder="1" applyAlignment="1" applyProtection="1">
      <alignment horizontal="center" vertical="center" wrapText="1" readingOrder="1"/>
      <protection hidden="1"/>
    </xf>
    <xf numFmtId="164" fontId="56" fillId="15" borderId="70" xfId="4" applyNumberFormat="1" applyFont="1" applyFill="1" applyBorder="1" applyAlignment="1">
      <alignment horizontal="center" vertical="center" wrapText="1" readingOrder="1"/>
    </xf>
    <xf numFmtId="164" fontId="56" fillId="15" borderId="67" xfId="4" applyNumberFormat="1" applyFont="1" applyFill="1" applyBorder="1" applyAlignment="1">
      <alignment horizontal="center" vertical="center" wrapText="1" readingOrder="1"/>
    </xf>
    <xf numFmtId="164" fontId="56" fillId="15" borderId="71" xfId="4" applyNumberFormat="1" applyFont="1" applyFill="1" applyBorder="1" applyAlignment="1">
      <alignment horizontal="center" vertical="center" wrapText="1" readingOrder="1"/>
    </xf>
    <xf numFmtId="49" fontId="7" fillId="3" borderId="85" xfId="0" applyNumberFormat="1" applyFont="1" applyFill="1" applyBorder="1" applyAlignment="1">
      <alignment horizontal="left" vertical="center" wrapText="1" readingOrder="1"/>
    </xf>
    <xf numFmtId="164" fontId="56" fillId="15" borderId="87" xfId="4" applyNumberFormat="1" applyFont="1" applyFill="1" applyBorder="1" applyAlignment="1">
      <alignment horizontal="center" vertical="center" wrapText="1" readingOrder="1"/>
    </xf>
    <xf numFmtId="164" fontId="56" fillId="15" borderId="77" xfId="4" applyNumberFormat="1" applyFont="1" applyFill="1" applyBorder="1" applyAlignment="1">
      <alignment horizontal="center" vertical="center" wrapText="1" readingOrder="1"/>
    </xf>
    <xf numFmtId="164" fontId="56" fillId="12" borderId="69" xfId="0" applyNumberFormat="1" applyFont="1" applyFill="1" applyBorder="1" applyAlignment="1">
      <alignment horizontal="center" vertical="center" wrapText="1" readingOrder="1"/>
    </xf>
    <xf numFmtId="164" fontId="56" fillId="12" borderId="77" xfId="0" applyNumberFormat="1" applyFont="1" applyFill="1" applyBorder="1" applyAlignment="1">
      <alignment horizontal="center" vertical="center" wrapText="1" readingOrder="1"/>
    </xf>
    <xf numFmtId="164" fontId="56" fillId="13" borderId="77" xfId="0" applyNumberFormat="1" applyFont="1" applyFill="1" applyBorder="1" applyAlignment="1">
      <alignment horizontal="center" vertical="center" wrapText="1" readingOrder="1"/>
    </xf>
    <xf numFmtId="0" fontId="43" fillId="0" borderId="87" xfId="0" applyFont="1" applyBorder="1" applyAlignment="1">
      <alignment horizontal="center" vertical="center"/>
    </xf>
    <xf numFmtId="164" fontId="56" fillId="17" borderId="84" xfId="4" applyNumberFormat="1" applyFont="1" applyFill="1" applyBorder="1" applyAlignment="1" applyProtection="1">
      <alignment horizontal="center" vertical="center" wrapText="1" readingOrder="1"/>
      <protection hidden="1"/>
    </xf>
    <xf numFmtId="164" fontId="56" fillId="17" borderId="86" xfId="4" applyNumberFormat="1" applyFont="1" applyFill="1" applyBorder="1" applyAlignment="1">
      <alignment horizontal="center" vertical="center" wrapText="1" readingOrder="1"/>
    </xf>
    <xf numFmtId="164" fontId="56" fillId="17" borderId="84" xfId="4" applyNumberFormat="1" applyFont="1" applyFill="1" applyBorder="1" applyAlignment="1">
      <alignment horizontal="center" vertical="center" wrapText="1" readingOrder="1"/>
    </xf>
    <xf numFmtId="164" fontId="56" fillId="3" borderId="84" xfId="0" applyNumberFormat="1" applyFont="1" applyFill="1" applyBorder="1" applyAlignment="1">
      <alignment horizontal="center" vertical="center" wrapText="1" readingOrder="1"/>
    </xf>
    <xf numFmtId="49" fontId="56" fillId="0" borderId="84" xfId="0" applyNumberFormat="1" applyFont="1" applyFill="1" applyBorder="1" applyAlignment="1">
      <alignment horizontal="center" vertical="center" wrapText="1" readingOrder="1"/>
    </xf>
    <xf numFmtId="49" fontId="56" fillId="0" borderId="85" xfId="0" applyNumberFormat="1" applyFont="1" applyFill="1" applyBorder="1" applyAlignment="1">
      <alignment horizontal="center" vertical="center" wrapText="1" readingOrder="1"/>
    </xf>
    <xf numFmtId="49" fontId="56" fillId="0" borderId="86" xfId="0" applyNumberFormat="1" applyFont="1" applyFill="1" applyBorder="1" applyAlignment="1">
      <alignment horizontal="center" vertical="center" wrapText="1" readingOrder="1"/>
    </xf>
    <xf numFmtId="49" fontId="7" fillId="3" borderId="85" xfId="0" applyNumberFormat="1" applyFont="1" applyFill="1" applyBorder="1" applyAlignment="1">
      <alignment horizontal="center" vertical="center" wrapText="1" readingOrder="1"/>
    </xf>
    <xf numFmtId="164" fontId="56" fillId="14" borderId="84" xfId="0" applyNumberFormat="1" applyFont="1" applyFill="1" applyBorder="1" applyAlignment="1" applyProtection="1">
      <alignment horizontal="center" vertical="center" wrapText="1" readingOrder="1"/>
      <protection hidden="1"/>
    </xf>
    <xf numFmtId="164" fontId="56" fillId="3" borderId="85" xfId="0" applyNumberFormat="1" applyFont="1" applyFill="1" applyBorder="1" applyAlignment="1">
      <alignment horizontal="center" vertical="center" wrapText="1" readingOrder="1"/>
    </xf>
    <xf numFmtId="164" fontId="56" fillId="3" borderId="86" xfId="0" applyNumberFormat="1" applyFont="1" applyFill="1" applyBorder="1" applyAlignment="1">
      <alignment horizontal="center" vertical="center" wrapText="1" readingOrder="1"/>
    </xf>
    <xf numFmtId="49" fontId="7" fillId="0" borderId="81" xfId="0" applyNumberFormat="1" applyFont="1" applyFill="1" applyBorder="1" applyAlignment="1">
      <alignment horizontal="left" vertical="center" wrapText="1" readingOrder="1"/>
    </xf>
    <xf numFmtId="49" fontId="7" fillId="0" borderId="81" xfId="0" applyNumberFormat="1" applyFont="1" applyFill="1" applyBorder="1" applyAlignment="1">
      <alignment horizontal="center" vertical="center" wrapText="1" readingOrder="1"/>
    </xf>
    <xf numFmtId="164" fontId="56" fillId="14" borderId="80" xfId="0" applyNumberFormat="1" applyFont="1" applyFill="1" applyBorder="1" applyAlignment="1" applyProtection="1">
      <alignment horizontal="center" vertical="center" wrapText="1" readingOrder="1"/>
      <protection hidden="1"/>
    </xf>
    <xf numFmtId="164" fontId="56" fillId="14" borderId="82" xfId="0" applyNumberFormat="1" applyFont="1" applyFill="1" applyBorder="1" applyAlignment="1">
      <alignment horizontal="center" vertical="center" wrapText="1" readingOrder="1"/>
    </xf>
    <xf numFmtId="164" fontId="56" fillId="14" borderId="80" xfId="0" applyNumberFormat="1" applyFont="1" applyFill="1" applyBorder="1" applyAlignment="1">
      <alignment horizontal="center" vertical="center" wrapText="1" readingOrder="1"/>
    </xf>
    <xf numFmtId="164" fontId="56" fillId="14" borderId="81" xfId="0" applyNumberFormat="1" applyFont="1" applyFill="1" applyBorder="1" applyAlignment="1">
      <alignment horizontal="center" vertical="center" wrapText="1" readingOrder="1"/>
    </xf>
    <xf numFmtId="164" fontId="56" fillId="14" borderId="90" xfId="0" applyNumberFormat="1" applyFont="1" applyFill="1" applyBorder="1" applyAlignment="1">
      <alignment horizontal="center" vertical="center" wrapText="1" readingOrder="1"/>
    </xf>
    <xf numFmtId="164" fontId="56" fillId="3" borderId="80" xfId="0" applyNumberFormat="1" applyFont="1" applyFill="1" applyBorder="1" applyAlignment="1">
      <alignment horizontal="center" vertical="center" wrapText="1" readingOrder="1"/>
    </xf>
    <xf numFmtId="164" fontId="56" fillId="3" borderId="81" xfId="0" applyNumberFormat="1" applyFont="1" applyFill="1" applyBorder="1" applyAlignment="1">
      <alignment horizontal="center" vertical="center" wrapText="1" readingOrder="1"/>
    </xf>
    <xf numFmtId="164" fontId="56" fillId="3" borderId="82" xfId="0" applyNumberFormat="1" applyFont="1" applyFill="1" applyBorder="1" applyAlignment="1">
      <alignment horizontal="center" vertical="center" wrapText="1" readingOrder="1"/>
    </xf>
    <xf numFmtId="49" fontId="7" fillId="3" borderId="77" xfId="0" applyNumberFormat="1" applyFont="1" applyFill="1" applyBorder="1" applyAlignment="1">
      <alignment horizontal="center" vertical="center" wrapText="1" readingOrder="1"/>
    </xf>
    <xf numFmtId="0" fontId="43" fillId="15" borderId="0" xfId="0" applyFont="1" applyFill="1" applyBorder="1" applyAlignment="1">
      <alignment horizontal="center" vertical="center"/>
    </xf>
    <xf numFmtId="0" fontId="43" fillId="0" borderId="0" xfId="0" applyFont="1" applyBorder="1" applyAlignment="1">
      <alignment horizontal="center" vertical="center"/>
    </xf>
    <xf numFmtId="49" fontId="7" fillId="0" borderId="0" xfId="0" applyNumberFormat="1" applyFont="1" applyFill="1" applyBorder="1" applyAlignment="1">
      <alignment horizontal="center" vertical="center" wrapText="1" readingOrder="1"/>
    </xf>
    <xf numFmtId="164" fontId="56" fillId="14" borderId="0" xfId="0" applyNumberFormat="1" applyFont="1" applyFill="1" applyBorder="1" applyAlignment="1">
      <alignment horizontal="center" vertical="center" wrapText="1" readingOrder="1"/>
    </xf>
    <xf numFmtId="174" fontId="56" fillId="15" borderId="0" xfId="0" applyNumberFormat="1" applyFont="1" applyFill="1" applyBorder="1" applyAlignment="1">
      <alignment horizontal="center" vertical="center" wrapText="1" readingOrder="1"/>
    </xf>
    <xf numFmtId="174" fontId="56" fillId="14" borderId="0" xfId="0" applyNumberFormat="1" applyFont="1" applyFill="1" applyBorder="1" applyAlignment="1">
      <alignment horizontal="center" vertical="center" wrapText="1" readingOrder="1"/>
    </xf>
    <xf numFmtId="174" fontId="56" fillId="0" borderId="0" xfId="0" applyNumberFormat="1" applyFont="1" applyFill="1" applyBorder="1" applyAlignment="1">
      <alignment horizontal="center" vertical="center" wrapText="1" readingOrder="1"/>
    </xf>
    <xf numFmtId="174" fontId="56" fillId="0" borderId="53" xfId="0" applyNumberFormat="1" applyFont="1" applyFill="1" applyBorder="1" applyAlignment="1">
      <alignment horizontal="center" vertical="center" wrapText="1" readingOrder="1"/>
    </xf>
    <xf numFmtId="49" fontId="66" fillId="0" borderId="58" xfId="0" applyNumberFormat="1" applyFont="1" applyFill="1" applyBorder="1" applyAlignment="1">
      <alignment horizontal="center" vertical="center" wrapText="1" readingOrder="1"/>
    </xf>
    <xf numFmtId="49" fontId="66" fillId="0" borderId="0" xfId="0" applyNumberFormat="1" applyFont="1" applyFill="1" applyBorder="1" applyAlignment="1">
      <alignment horizontal="center" vertical="center" wrapText="1" readingOrder="1"/>
    </xf>
    <xf numFmtId="49" fontId="43" fillId="0" borderId="0" xfId="0" applyNumberFormat="1" applyFont="1" applyFill="1" applyBorder="1" applyAlignment="1">
      <alignment horizontal="center" vertical="center" wrapText="1" readingOrder="1"/>
    </xf>
    <xf numFmtId="0" fontId="43" fillId="0" borderId="0" xfId="0" applyFont="1" applyBorder="1" applyAlignment="1">
      <alignment horizontal="center" vertical="center" wrapText="1"/>
    </xf>
    <xf numFmtId="166" fontId="88" fillId="3" borderId="51" xfId="0" applyNumberFormat="1" applyFont="1" applyFill="1" applyBorder="1" applyAlignment="1" applyProtection="1">
      <alignment horizontal="right" vertical="center"/>
      <protection hidden="1"/>
    </xf>
    <xf numFmtId="0" fontId="4" fillId="3" borderId="17" xfId="0" applyFont="1" applyFill="1" applyBorder="1" applyAlignment="1" applyProtection="1">
      <alignment horizontal="center"/>
      <protection hidden="1"/>
    </xf>
    <xf numFmtId="0" fontId="4" fillId="9" borderId="15" xfId="0" applyFont="1" applyFill="1" applyBorder="1" applyAlignment="1" applyProtection="1">
      <protection hidden="1"/>
    </xf>
    <xf numFmtId="0" fontId="91" fillId="0" borderId="0" xfId="0" applyFont="1"/>
    <xf numFmtId="0" fontId="92" fillId="0" borderId="0" xfId="0" applyFont="1"/>
    <xf numFmtId="0" fontId="93" fillId="26" borderId="7" xfId="0" applyFont="1" applyFill="1" applyBorder="1" applyAlignment="1">
      <alignment horizontal="center" vertical="center" wrapText="1"/>
    </xf>
    <xf numFmtId="0" fontId="93" fillId="26" borderId="24" xfId="0" applyFont="1" applyFill="1" applyBorder="1" applyAlignment="1">
      <alignment horizontal="center" vertical="center" wrapText="1"/>
    </xf>
    <xf numFmtId="0" fontId="93" fillId="26" borderId="10" xfId="0" applyFont="1" applyFill="1" applyBorder="1" applyAlignment="1">
      <alignment horizontal="center" vertical="center"/>
    </xf>
    <xf numFmtId="0" fontId="93" fillId="26" borderId="12" xfId="0" applyFont="1" applyFill="1" applyBorder="1" applyAlignment="1">
      <alignment horizontal="center" vertical="center"/>
    </xf>
    <xf numFmtId="0" fontId="94" fillId="0" borderId="6" xfId="0" applyFont="1" applyBorder="1" applyAlignment="1">
      <alignment horizontal="center" vertical="center"/>
    </xf>
    <xf numFmtId="0" fontId="95" fillId="0" borderId="24" xfId="0" applyFont="1" applyFill="1" applyBorder="1" applyAlignment="1">
      <alignment horizontal="left" vertical="top"/>
    </xf>
    <xf numFmtId="173" fontId="93" fillId="26" borderId="10" xfId="0" applyNumberFormat="1" applyFont="1" applyFill="1" applyBorder="1" applyAlignment="1">
      <alignment horizontal="center"/>
    </xf>
    <xf numFmtId="173" fontId="93" fillId="26" borderId="12" xfId="0" applyNumberFormat="1" applyFont="1" applyFill="1" applyBorder="1" applyAlignment="1">
      <alignment horizontal="center"/>
    </xf>
    <xf numFmtId="0" fontId="95" fillId="0" borderId="12" xfId="0" applyFont="1" applyFill="1" applyBorder="1" applyAlignment="1">
      <alignment horizontal="left" vertical="top"/>
    </xf>
    <xf numFmtId="173" fontId="97" fillId="26" borderId="10" xfId="0" applyNumberFormat="1" applyFont="1" applyFill="1" applyBorder="1" applyAlignment="1">
      <alignment horizontal="center"/>
    </xf>
    <xf numFmtId="173" fontId="97" fillId="26" borderId="12" xfId="0" applyNumberFormat="1" applyFont="1" applyFill="1" applyBorder="1" applyAlignment="1">
      <alignment horizontal="center"/>
    </xf>
    <xf numFmtId="0" fontId="95" fillId="0" borderId="12" xfId="0" applyFont="1" applyFill="1" applyBorder="1" applyAlignment="1">
      <alignment horizontal="left" vertical="top" wrapText="1"/>
    </xf>
    <xf numFmtId="173" fontId="97" fillId="26" borderId="10" xfId="0" applyNumberFormat="1" applyFont="1" applyFill="1" applyBorder="1" applyAlignment="1">
      <alignment horizontal="center" vertical="center"/>
    </xf>
    <xf numFmtId="0" fontId="95" fillId="0" borderId="28" xfId="0" applyFont="1" applyFill="1" applyBorder="1" applyAlignment="1">
      <alignment horizontal="left" vertical="top"/>
    </xf>
    <xf numFmtId="0" fontId="4" fillId="3" borderId="6" xfId="0" applyFont="1" applyFill="1" applyBorder="1" applyAlignment="1" applyProtection="1">
      <alignment horizontal="right" wrapText="1"/>
      <protection hidden="1"/>
    </xf>
    <xf numFmtId="0" fontId="4" fillId="3" borderId="9" xfId="0" applyFont="1" applyFill="1" applyBorder="1" applyAlignment="1" applyProtection="1">
      <alignment horizontal="right"/>
      <protection hidden="1"/>
    </xf>
    <xf numFmtId="0" fontId="4" fillId="3" borderId="26" xfId="0" applyFont="1" applyFill="1" applyBorder="1" applyAlignment="1" applyProtection="1">
      <alignment horizontal="right"/>
      <protection hidden="1"/>
    </xf>
    <xf numFmtId="0" fontId="4" fillId="3" borderId="27" xfId="0" applyFont="1" applyFill="1" applyBorder="1" applyAlignment="1" applyProtection="1">
      <alignment horizontal="center" vertical="center"/>
      <protection hidden="1"/>
    </xf>
    <xf numFmtId="0" fontId="4" fillId="3" borderId="7" xfId="0" applyFont="1" applyFill="1" applyBorder="1" applyAlignment="1" applyProtection="1">
      <alignment horizontal="center" vertical="center" wrapText="1"/>
      <protection hidden="1"/>
    </xf>
    <xf numFmtId="49" fontId="98" fillId="3" borderId="38" xfId="0" applyNumberFormat="1" applyFont="1" applyFill="1" applyBorder="1" applyAlignment="1">
      <alignment horizontal="left" vertical="center" wrapText="1" readingOrder="1"/>
    </xf>
    <xf numFmtId="0" fontId="14" fillId="5" borderId="15" xfId="0" applyFont="1" applyFill="1" applyBorder="1" applyAlignment="1" applyProtection="1">
      <protection hidden="1"/>
    </xf>
    <xf numFmtId="15" fontId="80" fillId="28" borderId="21" xfId="5" applyNumberFormat="1" applyFont="1" applyFill="1" applyBorder="1" applyAlignment="1" applyProtection="1">
      <alignment horizontal="center"/>
    </xf>
    <xf numFmtId="175" fontId="0" fillId="29" borderId="10" xfId="0" applyNumberFormat="1" applyFill="1" applyBorder="1" applyAlignment="1">
      <alignment horizontal="center"/>
    </xf>
    <xf numFmtId="0" fontId="4" fillId="3" borderId="89" xfId="0" applyFont="1" applyFill="1" applyBorder="1" applyAlignment="1" applyProtection="1">
      <protection hidden="1"/>
    </xf>
    <xf numFmtId="170" fontId="16" fillId="3" borderId="104" xfId="0" applyNumberFormat="1" applyFont="1" applyFill="1" applyBorder="1" applyAlignment="1" applyProtection="1">
      <alignment horizontal="center"/>
      <protection hidden="1"/>
    </xf>
    <xf numFmtId="168" fontId="17" fillId="6" borderId="88" xfId="0" applyNumberFormat="1" applyFont="1" applyFill="1" applyBorder="1" applyAlignment="1" applyProtection="1">
      <alignment horizontal="center"/>
      <protection hidden="1"/>
    </xf>
    <xf numFmtId="167" fontId="19" fillId="3" borderId="17" xfId="0" quotePrefix="1" applyNumberFormat="1" applyFont="1" applyFill="1" applyBorder="1" applyAlignment="1" applyProtection="1">
      <alignment horizontal="center"/>
      <protection hidden="1"/>
    </xf>
    <xf numFmtId="168" fontId="19" fillId="3" borderId="17" xfId="0" applyNumberFormat="1" applyFont="1" applyFill="1" applyBorder="1" applyAlignment="1" applyProtection="1">
      <alignment horizontal="center"/>
      <protection hidden="1"/>
    </xf>
    <xf numFmtId="166" fontId="19" fillId="3" borderId="17" xfId="0" applyNumberFormat="1" applyFont="1" applyFill="1" applyBorder="1" applyAlignment="1" applyProtection="1">
      <alignment horizontal="center"/>
      <protection hidden="1"/>
    </xf>
    <xf numFmtId="171" fontId="19" fillId="3" borderId="19" xfId="0" applyNumberFormat="1" applyFont="1" applyFill="1" applyBorder="1" applyAlignment="1" applyProtection="1">
      <alignment horizontal="center"/>
      <protection hidden="1"/>
    </xf>
    <xf numFmtId="0" fontId="15" fillId="3" borderId="4" xfId="3" applyFont="1" applyFill="1" applyBorder="1" applyAlignment="1" applyProtection="1">
      <alignment vertical="center" textRotation="180"/>
      <protection hidden="1"/>
    </xf>
    <xf numFmtId="0" fontId="15" fillId="3" borderId="35" xfId="3" applyFont="1" applyFill="1" applyBorder="1" applyAlignment="1" applyProtection="1">
      <alignment vertical="center" textRotation="180"/>
      <protection hidden="1"/>
    </xf>
    <xf numFmtId="178" fontId="19" fillId="3" borderId="47" xfId="3" applyNumberFormat="1" applyFont="1" applyFill="1" applyBorder="1" applyAlignment="1" applyProtection="1">
      <alignment horizontal="center" vertical="center" wrapText="1"/>
      <protection hidden="1"/>
    </xf>
    <xf numFmtId="172" fontId="17" fillId="6" borderId="65" xfId="0" applyNumberFormat="1" applyFont="1" applyFill="1" applyBorder="1" applyAlignment="1" applyProtection="1">
      <alignment horizontal="center"/>
      <protection hidden="1"/>
    </xf>
    <xf numFmtId="172" fontId="17" fillId="6" borderId="12" xfId="0" applyNumberFormat="1" applyFont="1" applyFill="1" applyBorder="1" applyAlignment="1" applyProtection="1">
      <alignment horizontal="center"/>
      <protection hidden="1"/>
    </xf>
    <xf numFmtId="0" fontId="14" fillId="3" borderId="0" xfId="0" applyFont="1" applyFill="1" applyBorder="1" applyProtection="1">
      <protection hidden="1"/>
    </xf>
    <xf numFmtId="176" fontId="0" fillId="0" borderId="0" xfId="0" applyNumberFormat="1" applyFill="1" applyAlignment="1">
      <alignment horizontal="center"/>
    </xf>
    <xf numFmtId="0" fontId="0" fillId="0" borderId="10" xfId="0" applyFill="1" applyBorder="1" applyAlignment="1">
      <alignment horizontal="center"/>
    </xf>
    <xf numFmtId="0" fontId="0" fillId="0" borderId="10" xfId="0" quotePrefix="1" applyFill="1" applyBorder="1"/>
    <xf numFmtId="173" fontId="100" fillId="26" borderId="10" xfId="0" applyNumberFormat="1" applyFont="1" applyFill="1" applyBorder="1" applyAlignment="1">
      <alignment horizontal="center"/>
    </xf>
    <xf numFmtId="173" fontId="100" fillId="26" borderId="12" xfId="0" applyNumberFormat="1" applyFont="1" applyFill="1" applyBorder="1" applyAlignment="1">
      <alignment horizontal="center"/>
    </xf>
    <xf numFmtId="173" fontId="100" fillId="26" borderId="10" xfId="0" applyNumberFormat="1" applyFont="1" applyFill="1" applyBorder="1" applyAlignment="1">
      <alignment horizontal="center" vertical="center"/>
    </xf>
    <xf numFmtId="173" fontId="100" fillId="26" borderId="12" xfId="0" applyNumberFormat="1" applyFont="1" applyFill="1" applyBorder="1" applyAlignment="1">
      <alignment horizontal="center" vertical="center"/>
    </xf>
    <xf numFmtId="173" fontId="97" fillId="26" borderId="27" xfId="0" applyNumberFormat="1" applyFont="1" applyFill="1" applyBorder="1" applyAlignment="1">
      <alignment horizontal="center" vertical="center"/>
    </xf>
    <xf numFmtId="173" fontId="97" fillId="26" borderId="28" xfId="0" applyNumberFormat="1" applyFont="1" applyFill="1" applyBorder="1" applyAlignment="1">
      <alignment horizontal="center" vertical="center"/>
    </xf>
    <xf numFmtId="164" fontId="65" fillId="3" borderId="65" xfId="4" applyNumberFormat="1" applyFont="1" applyFill="1" applyBorder="1" applyAlignment="1">
      <alignment horizontal="center" vertical="center" wrapText="1" readingOrder="1"/>
    </xf>
    <xf numFmtId="0" fontId="0" fillId="0" borderId="7" xfId="0" quotePrefix="1" applyFont="1" applyFill="1" applyBorder="1" applyAlignment="1">
      <alignment horizontal="center" vertical="center" wrapText="1" readingOrder="1"/>
    </xf>
    <xf numFmtId="173" fontId="0" fillId="0" borderId="0" xfId="0" applyNumberFormat="1" applyAlignment="1">
      <alignment horizontal="center" vertical="center"/>
    </xf>
    <xf numFmtId="173" fontId="0" fillId="0" borderId="0" xfId="0" quotePrefix="1" applyNumberFormat="1" applyAlignment="1">
      <alignment horizontal="center" vertical="center"/>
    </xf>
    <xf numFmtId="49" fontId="59" fillId="16" borderId="59" xfId="0" applyNumberFormat="1" applyFont="1" applyFill="1" applyBorder="1" applyAlignment="1">
      <alignment horizontal="center" vertical="center" readingOrder="1"/>
    </xf>
    <xf numFmtId="49" fontId="59" fillId="16" borderId="33" xfId="0" applyNumberFormat="1" applyFont="1" applyFill="1" applyBorder="1" applyAlignment="1">
      <alignment horizontal="center" vertical="center" readingOrder="1"/>
    </xf>
    <xf numFmtId="164" fontId="65" fillId="3" borderId="42" xfId="4" applyNumberFormat="1" applyFont="1" applyFill="1" applyBorder="1" applyAlignment="1">
      <alignment horizontal="center" vertical="center" wrapText="1" readingOrder="1"/>
    </xf>
    <xf numFmtId="164" fontId="65" fillId="3" borderId="79" xfId="4" applyNumberFormat="1" applyFont="1" applyFill="1" applyBorder="1" applyAlignment="1">
      <alignment horizontal="center" vertical="center" wrapText="1" readingOrder="1"/>
    </xf>
    <xf numFmtId="164" fontId="65" fillId="3" borderId="80" xfId="4" applyNumberFormat="1" applyFont="1" applyFill="1" applyBorder="1" applyAlignment="1">
      <alignment horizontal="center" vertical="center" wrapText="1" readingOrder="1"/>
    </xf>
    <xf numFmtId="164" fontId="65" fillId="3" borderId="32" xfId="4" applyNumberFormat="1" applyFont="1" applyFill="1" applyBorder="1" applyAlignment="1">
      <alignment horizontal="center" vertical="center" wrapText="1" readingOrder="1"/>
    </xf>
    <xf numFmtId="164" fontId="65" fillId="3" borderId="82" xfId="4" applyNumberFormat="1" applyFont="1" applyFill="1" applyBorder="1" applyAlignment="1">
      <alignment horizontal="center" vertical="center" wrapText="1" readingOrder="1"/>
    </xf>
    <xf numFmtId="164" fontId="65" fillId="3" borderId="65" xfId="4" applyNumberFormat="1" applyFont="1" applyFill="1" applyBorder="1" applyAlignment="1">
      <alignment horizontal="center" vertical="center" wrapText="1" readingOrder="1"/>
    </xf>
    <xf numFmtId="164" fontId="65" fillId="3" borderId="64" xfId="4" applyNumberFormat="1" applyFont="1" applyFill="1" applyBorder="1" applyAlignment="1">
      <alignment horizontal="center" vertical="center" wrapText="1" readingOrder="1"/>
    </xf>
    <xf numFmtId="0" fontId="67" fillId="23" borderId="45" xfId="0" quotePrefix="1" applyFont="1" applyFill="1" applyBorder="1" applyAlignment="1">
      <alignment horizontal="center" vertical="center" wrapText="1" readingOrder="1"/>
    </xf>
    <xf numFmtId="164" fontId="76" fillId="23" borderId="55" xfId="4" applyNumberFormat="1" applyFont="1" applyFill="1" applyBorder="1" applyAlignment="1">
      <alignment horizontal="center" vertical="center" wrapText="1" readingOrder="1"/>
    </xf>
    <xf numFmtId="49" fontId="59" fillId="16" borderId="52" xfId="0" applyNumberFormat="1" applyFont="1" applyFill="1" applyBorder="1" applyAlignment="1">
      <alignment horizontal="center" vertical="center" readingOrder="1"/>
    </xf>
    <xf numFmtId="49" fontId="59" fillId="16" borderId="38" xfId="0" applyNumberFormat="1" applyFont="1" applyFill="1" applyBorder="1" applyAlignment="1">
      <alignment horizontal="center" vertical="center" readingOrder="1"/>
    </xf>
    <xf numFmtId="49" fontId="59" fillId="16" borderId="41" xfId="0" applyNumberFormat="1" applyFont="1" applyFill="1" applyBorder="1" applyAlignment="1">
      <alignment horizontal="center" vertical="center" readingOrder="1"/>
    </xf>
    <xf numFmtId="49" fontId="61" fillId="15" borderId="52" xfId="0" applyNumberFormat="1" applyFont="1" applyFill="1" applyBorder="1" applyAlignment="1">
      <alignment horizontal="center" vertical="center" wrapText="1" readingOrder="1"/>
    </xf>
    <xf numFmtId="164" fontId="60" fillId="3" borderId="22" xfId="4" applyNumberFormat="1" applyFont="1" applyFill="1" applyBorder="1" applyAlignment="1">
      <alignment horizontal="center" vertical="center" wrapText="1" readingOrder="1"/>
    </xf>
    <xf numFmtId="164" fontId="56" fillId="12" borderId="97" xfId="4" applyNumberFormat="1" applyFont="1" applyFill="1" applyBorder="1" applyAlignment="1">
      <alignment horizontal="center" vertical="center" wrapText="1" readingOrder="1"/>
    </xf>
    <xf numFmtId="164" fontId="56" fillId="13" borderId="98" xfId="0" applyNumberFormat="1" applyFont="1" applyFill="1" applyBorder="1" applyAlignment="1">
      <alignment horizontal="center" vertical="center" wrapText="1" readingOrder="1"/>
    </xf>
    <xf numFmtId="164" fontId="56" fillId="12" borderId="52" xfId="4" applyNumberFormat="1" applyFont="1" applyFill="1" applyBorder="1" applyAlignment="1">
      <alignment horizontal="center" vertical="center" wrapText="1" readingOrder="1"/>
    </xf>
    <xf numFmtId="164" fontId="56" fillId="12" borderId="97" xfId="0" applyNumberFormat="1" applyFont="1" applyFill="1" applyBorder="1" applyAlignment="1" applyProtection="1">
      <alignment horizontal="center" vertical="center" wrapText="1" readingOrder="1"/>
      <protection hidden="1"/>
    </xf>
    <xf numFmtId="164" fontId="56" fillId="14" borderId="97" xfId="4" applyNumberFormat="1" applyFont="1" applyFill="1" applyBorder="1" applyAlignment="1" applyProtection="1">
      <alignment horizontal="center" vertical="center" wrapText="1" readingOrder="1"/>
      <protection hidden="1"/>
    </xf>
    <xf numFmtId="164" fontId="56" fillId="17" borderId="97" xfId="4" applyNumberFormat="1" applyFont="1" applyFill="1" applyBorder="1" applyAlignment="1" applyProtection="1">
      <alignment horizontal="center" vertical="center" wrapText="1" readingOrder="1"/>
      <protection hidden="1"/>
    </xf>
    <xf numFmtId="164" fontId="56" fillId="15" borderId="97" xfId="0" applyNumberFormat="1" applyFont="1" applyFill="1" applyBorder="1" applyAlignment="1" applyProtection="1">
      <alignment horizontal="center" vertical="center" wrapText="1" readingOrder="1"/>
      <protection hidden="1"/>
    </xf>
    <xf numFmtId="164" fontId="65" fillId="3" borderId="99" xfId="0" applyNumberFormat="1" applyFont="1" applyFill="1" applyBorder="1" applyAlignment="1" applyProtection="1">
      <alignment horizontal="center" vertical="center" wrapText="1" readingOrder="1"/>
      <protection hidden="1"/>
    </xf>
    <xf numFmtId="164" fontId="56" fillId="12" borderId="96" xfId="4" applyNumberFormat="1" applyFont="1" applyFill="1" applyBorder="1" applyAlignment="1" applyProtection="1">
      <alignment horizontal="center" vertical="center" wrapText="1" readingOrder="1"/>
      <protection hidden="1"/>
    </xf>
    <xf numFmtId="164" fontId="56" fillId="15" borderId="97" xfId="4" applyNumberFormat="1" applyFont="1" applyFill="1" applyBorder="1" applyAlignment="1" applyProtection="1">
      <alignment horizontal="center" vertical="center" wrapText="1" readingOrder="1"/>
      <protection hidden="1"/>
    </xf>
    <xf numFmtId="164" fontId="56" fillId="12" borderId="97" xfId="4" applyNumberFormat="1" applyFont="1" applyFill="1" applyBorder="1" applyAlignment="1" applyProtection="1">
      <alignment horizontal="center" vertical="center" wrapText="1" readingOrder="1"/>
      <protection hidden="1"/>
    </xf>
    <xf numFmtId="164" fontId="56" fillId="17" borderId="102" xfId="4" applyNumberFormat="1" applyFont="1" applyFill="1" applyBorder="1" applyAlignment="1" applyProtection="1">
      <alignment horizontal="center" vertical="center" wrapText="1" readingOrder="1"/>
      <protection hidden="1"/>
    </xf>
    <xf numFmtId="164" fontId="56" fillId="14" borderId="96" xfId="0" applyNumberFormat="1" applyFont="1" applyFill="1" applyBorder="1" applyAlignment="1" applyProtection="1">
      <alignment horizontal="center" vertical="center" wrapText="1" readingOrder="1"/>
      <protection hidden="1"/>
    </xf>
    <xf numFmtId="164" fontId="56" fillId="14" borderId="97" xfId="0" applyNumberFormat="1" applyFont="1" applyFill="1" applyBorder="1" applyAlignment="1" applyProtection="1">
      <alignment horizontal="center" vertical="center" wrapText="1" readingOrder="1"/>
      <protection hidden="1"/>
    </xf>
    <xf numFmtId="164" fontId="56" fillId="14" borderId="99" xfId="0" applyNumberFormat="1" applyFont="1" applyFill="1" applyBorder="1" applyAlignment="1" applyProtection="1">
      <alignment horizontal="center" vertical="center" wrapText="1" readingOrder="1"/>
      <protection hidden="1"/>
    </xf>
    <xf numFmtId="164" fontId="56" fillId="14" borderId="98" xfId="4" applyNumberFormat="1" applyFont="1" applyFill="1" applyBorder="1" applyAlignment="1" applyProtection="1">
      <alignment horizontal="center" vertical="center" wrapText="1" readingOrder="1"/>
      <protection hidden="1"/>
    </xf>
    <xf numFmtId="164" fontId="56" fillId="12" borderId="96" xfId="4" applyNumberFormat="1" applyFont="1" applyFill="1" applyBorder="1" applyAlignment="1">
      <alignment horizontal="center" vertical="center" wrapText="1" readingOrder="1"/>
    </xf>
    <xf numFmtId="164" fontId="65" fillId="3" borderId="105" xfId="4" applyNumberFormat="1" applyFont="1" applyFill="1" applyBorder="1" applyAlignment="1">
      <alignment horizontal="center" vertical="center" wrapText="1" readingOrder="1"/>
    </xf>
    <xf numFmtId="164" fontId="56" fillId="15" borderId="52" xfId="0" applyNumberFormat="1" applyFont="1" applyFill="1" applyBorder="1" applyAlignment="1">
      <alignment horizontal="center" vertical="center" wrapText="1" readingOrder="1"/>
    </xf>
    <xf numFmtId="164" fontId="65" fillId="3" borderId="0" xfId="0" applyNumberFormat="1" applyFont="1" applyFill="1" applyBorder="1" applyAlignment="1">
      <alignment horizontal="center" vertical="center" wrapText="1" readingOrder="1"/>
    </xf>
    <xf numFmtId="174" fontId="56" fillId="14" borderId="93" xfId="0" applyNumberFormat="1" applyFont="1" applyFill="1" applyBorder="1" applyAlignment="1">
      <alignment horizontal="center" vertical="center" wrapText="1" readingOrder="1"/>
    </xf>
    <xf numFmtId="164" fontId="56" fillId="14" borderId="93" xfId="0" applyNumberFormat="1" applyFont="1" applyFill="1" applyBorder="1" applyAlignment="1">
      <alignment horizontal="center" vertical="center" wrapText="1" readingOrder="1"/>
    </xf>
    <xf numFmtId="49" fontId="59" fillId="16" borderId="59" xfId="0" applyNumberFormat="1" applyFont="1" applyFill="1" applyBorder="1" applyAlignment="1">
      <alignment horizontal="center" vertical="center" readingOrder="1"/>
    </xf>
    <xf numFmtId="49" fontId="59" fillId="16" borderId="33" xfId="0" applyNumberFormat="1" applyFont="1" applyFill="1" applyBorder="1" applyAlignment="1">
      <alignment horizontal="center" vertical="center" readingOrder="1"/>
    </xf>
    <xf numFmtId="0" fontId="14" fillId="3" borderId="0" xfId="0" applyFont="1" applyFill="1" applyBorder="1" applyAlignment="1" applyProtection="1">
      <alignment horizontal="center"/>
      <protection hidden="1"/>
    </xf>
    <xf numFmtId="0" fontId="4" fillId="3" borderId="17" xfId="0" applyFont="1" applyFill="1" applyBorder="1" applyAlignment="1" applyProtection="1">
      <alignment horizontal="center"/>
      <protection hidden="1"/>
    </xf>
    <xf numFmtId="0" fontId="4" fillId="3" borderId="0" xfId="0" applyFont="1" applyFill="1" applyAlignment="1" applyProtection="1">
      <alignment horizontal="center" vertical="top" wrapText="1"/>
      <protection hidden="1"/>
    </xf>
    <xf numFmtId="49" fontId="59" fillId="16" borderId="59" xfId="0" applyNumberFormat="1" applyFont="1" applyFill="1" applyBorder="1" applyAlignment="1">
      <alignment horizontal="center" vertical="center" readingOrder="1"/>
    </xf>
    <xf numFmtId="49" fontId="59" fillId="16" borderId="33" xfId="0" applyNumberFormat="1" applyFont="1" applyFill="1" applyBorder="1" applyAlignment="1">
      <alignment horizontal="center" vertical="center" readingOrder="1"/>
    </xf>
    <xf numFmtId="49" fontId="59" fillId="16" borderId="20" xfId="0" applyNumberFormat="1" applyFont="1" applyFill="1" applyBorder="1" applyAlignment="1">
      <alignment horizontal="center" vertical="center" readingOrder="1"/>
    </xf>
    <xf numFmtId="49" fontId="59" fillId="16" borderId="65" xfId="0" applyNumberFormat="1" applyFont="1" applyFill="1" applyBorder="1" applyAlignment="1">
      <alignment horizontal="center" vertical="center" readingOrder="1"/>
    </xf>
    <xf numFmtId="172" fontId="17" fillId="3" borderId="12" xfId="0" applyNumberFormat="1" applyFont="1" applyFill="1" applyBorder="1" applyAlignment="1" applyProtection="1">
      <alignment horizontal="center"/>
      <protection hidden="1"/>
    </xf>
    <xf numFmtId="49" fontId="14" fillId="3" borderId="6" xfId="3" applyNumberFormat="1" applyFont="1" applyFill="1" applyBorder="1" applyAlignment="1" applyProtection="1">
      <alignment horizontal="left" vertical="center"/>
      <protection hidden="1"/>
    </xf>
    <xf numFmtId="49" fontId="4" fillId="3" borderId="45" xfId="3" applyNumberFormat="1" applyFont="1" applyFill="1" applyBorder="1" applyAlignment="1" applyProtection="1">
      <alignment horizontal="left" vertical="center" wrapText="1"/>
      <protection hidden="1"/>
    </xf>
    <xf numFmtId="167" fontId="14" fillId="3" borderId="46" xfId="3" applyNumberFormat="1" applyFont="1" applyFill="1" applyBorder="1" applyAlignment="1" applyProtection="1">
      <alignment horizontal="center" vertical="center" wrapText="1"/>
      <protection hidden="1"/>
    </xf>
    <xf numFmtId="172" fontId="16" fillId="3" borderId="56" xfId="3" applyNumberFormat="1" applyFont="1" applyFill="1" applyBorder="1" applyAlignment="1" applyProtection="1">
      <alignment horizontal="center" vertical="center" wrapText="1"/>
      <protection hidden="1"/>
    </xf>
    <xf numFmtId="173" fontId="16" fillId="3" borderId="46" xfId="0" applyNumberFormat="1" applyFont="1" applyFill="1" applyBorder="1" applyAlignment="1" applyProtection="1">
      <alignment horizontal="right"/>
      <protection hidden="1"/>
    </xf>
    <xf numFmtId="179" fontId="16" fillId="3" borderId="91" xfId="0" quotePrefix="1" applyNumberFormat="1" applyFont="1" applyFill="1" applyBorder="1" applyAlignment="1" applyProtection="1">
      <alignment horizontal="center"/>
      <protection hidden="1"/>
    </xf>
    <xf numFmtId="180" fontId="16" fillId="3" borderId="45" xfId="0" applyNumberFormat="1" applyFont="1" applyFill="1" applyBorder="1" applyAlignment="1" applyProtection="1">
      <alignment horizontal="left"/>
      <protection hidden="1"/>
    </xf>
    <xf numFmtId="0" fontId="4" fillId="3" borderId="17" xfId="0" applyNumberFormat="1" applyFont="1" applyFill="1" applyBorder="1" applyAlignment="1" applyProtection="1">
      <alignment horizontal="center"/>
      <protection hidden="1"/>
    </xf>
    <xf numFmtId="0" fontId="4" fillId="3" borderId="17" xfId="0" applyFont="1" applyFill="1" applyBorder="1" applyAlignment="1" applyProtection="1">
      <alignment horizontal="center" vertical="center"/>
      <protection hidden="1"/>
    </xf>
    <xf numFmtId="0" fontId="87" fillId="3" borderId="0" xfId="0" applyFont="1" applyFill="1"/>
    <xf numFmtId="49" fontId="14" fillId="3" borderId="9" xfId="3" applyNumberFormat="1" applyFont="1" applyFill="1" applyBorder="1" applyAlignment="1" applyProtection="1">
      <alignment horizontal="left" vertical="center"/>
      <protection hidden="1"/>
    </xf>
    <xf numFmtId="49" fontId="4" fillId="3" borderId="10" xfId="3" applyNumberFormat="1" applyFont="1" applyFill="1" applyBorder="1" applyAlignment="1" applyProtection="1">
      <alignment horizontal="left" vertical="center" wrapText="1"/>
      <protection hidden="1"/>
    </xf>
    <xf numFmtId="167" fontId="14" fillId="3" borderId="11" xfId="3" applyNumberFormat="1" applyFont="1" applyFill="1" applyBorder="1" applyAlignment="1" applyProtection="1">
      <alignment horizontal="center" vertical="center" wrapText="1"/>
      <protection hidden="1"/>
    </xf>
    <xf numFmtId="172" fontId="16" fillId="3" borderId="11" xfId="3" applyNumberFormat="1" applyFont="1" applyFill="1" applyBorder="1" applyAlignment="1" applyProtection="1">
      <alignment horizontal="center" vertical="center" wrapText="1"/>
      <protection hidden="1"/>
    </xf>
    <xf numFmtId="173" fontId="16" fillId="3" borderId="11" xfId="0" applyNumberFormat="1" applyFont="1" applyFill="1" applyBorder="1" applyAlignment="1" applyProtection="1">
      <alignment horizontal="right"/>
      <protection hidden="1"/>
    </xf>
    <xf numFmtId="180" fontId="16" fillId="3" borderId="22" xfId="0" applyNumberFormat="1" applyFont="1" applyFill="1" applyBorder="1" applyAlignment="1" applyProtection="1">
      <alignment horizontal="left"/>
      <protection hidden="1"/>
    </xf>
    <xf numFmtId="0" fontId="4" fillId="3" borderId="10" xfId="0" applyFont="1" applyFill="1" applyBorder="1" applyAlignment="1" applyProtection="1">
      <protection hidden="1"/>
    </xf>
    <xf numFmtId="0" fontId="4" fillId="3" borderId="10" xfId="0" applyNumberFormat="1" applyFont="1" applyFill="1" applyBorder="1" applyAlignment="1" applyProtection="1">
      <alignment horizontal="center"/>
      <protection hidden="1"/>
    </xf>
    <xf numFmtId="49" fontId="16" fillId="3" borderId="9" xfId="3" applyNumberFormat="1" applyFont="1" applyFill="1" applyBorder="1" applyAlignment="1" applyProtection="1">
      <alignment horizontal="left" vertical="center"/>
      <protection hidden="1"/>
    </xf>
    <xf numFmtId="49" fontId="8" fillId="3" borderId="22" xfId="3" applyNumberFormat="1" applyFont="1" applyFill="1" applyBorder="1" applyAlignment="1" applyProtection="1">
      <alignment horizontal="left" vertical="center" wrapText="1"/>
      <protection hidden="1"/>
    </xf>
    <xf numFmtId="167" fontId="16" fillId="3" borderId="11" xfId="3" applyNumberFormat="1" applyFont="1" applyFill="1" applyBorder="1" applyAlignment="1" applyProtection="1">
      <alignment horizontal="center" vertical="center" wrapText="1"/>
      <protection hidden="1"/>
    </xf>
    <xf numFmtId="0" fontId="14" fillId="3" borderId="23" xfId="0" applyFont="1" applyFill="1" applyBorder="1" applyProtection="1">
      <protection hidden="1"/>
    </xf>
    <xf numFmtId="167" fontId="14" fillId="3" borderId="0" xfId="0" applyNumberFormat="1" applyFont="1" applyFill="1" applyBorder="1" applyProtection="1">
      <protection hidden="1"/>
    </xf>
    <xf numFmtId="172" fontId="14" fillId="3" borderId="0" xfId="0" applyNumberFormat="1" applyFont="1" applyFill="1" applyBorder="1" applyProtection="1">
      <protection hidden="1"/>
    </xf>
    <xf numFmtId="173" fontId="23" fillId="3" borderId="0" xfId="0" applyNumberFormat="1" applyFont="1" applyFill="1" applyBorder="1" applyProtection="1">
      <protection hidden="1"/>
    </xf>
    <xf numFmtId="179" fontId="23" fillId="3" borderId="0" xfId="0" applyNumberFormat="1" applyFont="1" applyFill="1" applyBorder="1" applyAlignment="1" applyProtection="1">
      <alignment horizontal="center"/>
      <protection hidden="1"/>
    </xf>
    <xf numFmtId="180" fontId="23" fillId="3" borderId="0" xfId="0" applyNumberFormat="1" applyFont="1" applyFill="1" applyBorder="1" applyProtection="1">
      <protection hidden="1"/>
    </xf>
    <xf numFmtId="168" fontId="4" fillId="3" borderId="10" xfId="0" applyNumberFormat="1" applyFont="1" applyFill="1" applyBorder="1" applyAlignment="1" applyProtection="1">
      <protection hidden="1"/>
    </xf>
    <xf numFmtId="172" fontId="17" fillId="3" borderId="12" xfId="0" applyNumberFormat="1" applyFont="1" applyFill="1" applyBorder="1" applyAlignment="1" applyProtection="1">
      <alignment horizontal="center"/>
      <protection locked="0" hidden="1"/>
    </xf>
    <xf numFmtId="49" fontId="14" fillId="3" borderId="29" xfId="3" applyNumberFormat="1" applyFont="1" applyFill="1" applyBorder="1" applyAlignment="1" applyProtection="1">
      <alignment horizontal="left" vertical="center"/>
      <protection hidden="1"/>
    </xf>
    <xf numFmtId="49" fontId="4" fillId="3" borderId="55" xfId="3" applyNumberFormat="1" applyFont="1" applyFill="1" applyBorder="1" applyAlignment="1" applyProtection="1">
      <alignment horizontal="left" vertical="center" wrapText="1"/>
      <protection hidden="1"/>
    </xf>
    <xf numFmtId="167" fontId="14" fillId="3" borderId="53" xfId="3" applyNumberFormat="1" applyFont="1" applyFill="1" applyBorder="1" applyAlignment="1" applyProtection="1">
      <alignment horizontal="center" vertical="top" wrapText="1"/>
      <protection hidden="1"/>
    </xf>
    <xf numFmtId="173" fontId="16" fillId="3" borderId="53" xfId="0" applyNumberFormat="1" applyFont="1" applyFill="1" applyBorder="1" applyAlignment="1" applyProtection="1">
      <alignment horizontal="right"/>
      <protection hidden="1"/>
    </xf>
    <xf numFmtId="179" fontId="16" fillId="3" borderId="38" xfId="0" quotePrefix="1" applyNumberFormat="1" applyFont="1" applyFill="1" applyBorder="1" applyAlignment="1" applyProtection="1">
      <alignment horizontal="center"/>
      <protection hidden="1"/>
    </xf>
    <xf numFmtId="180" fontId="16" fillId="3" borderId="55" xfId="0" applyNumberFormat="1" applyFont="1" applyFill="1" applyBorder="1" applyAlignment="1" applyProtection="1">
      <alignment horizontal="left"/>
      <protection hidden="1"/>
    </xf>
    <xf numFmtId="172" fontId="17" fillId="3" borderId="28" xfId="0" applyNumberFormat="1" applyFont="1" applyFill="1" applyBorder="1" applyAlignment="1" applyProtection="1">
      <alignment horizontal="center"/>
      <protection locked="0" hidden="1"/>
    </xf>
    <xf numFmtId="172" fontId="17" fillId="3" borderId="19" xfId="0" applyNumberFormat="1" applyFont="1" applyFill="1" applyBorder="1" applyAlignment="1" applyProtection="1">
      <alignment horizontal="center"/>
      <protection hidden="1"/>
    </xf>
    <xf numFmtId="0" fontId="4" fillId="3" borderId="50" xfId="0" applyNumberFormat="1" applyFont="1" applyFill="1" applyBorder="1" applyAlignment="1" applyProtection="1">
      <alignment horizontal="center"/>
      <protection hidden="1"/>
    </xf>
    <xf numFmtId="168" fontId="17" fillId="3" borderId="19" xfId="0" applyNumberFormat="1" applyFont="1" applyFill="1" applyBorder="1" applyAlignment="1" applyProtection="1">
      <alignment horizontal="center"/>
      <protection hidden="1"/>
    </xf>
    <xf numFmtId="49" fontId="14" fillId="3" borderId="26" xfId="3" applyNumberFormat="1" applyFont="1" applyFill="1" applyBorder="1" applyAlignment="1" applyProtection="1">
      <alignment horizontal="left" vertical="center"/>
      <protection hidden="1"/>
    </xf>
    <xf numFmtId="49" fontId="4" fillId="3" borderId="94" xfId="3" applyNumberFormat="1" applyFont="1" applyFill="1" applyBorder="1" applyAlignment="1" applyProtection="1">
      <alignment horizontal="left" vertical="center" wrapText="1"/>
      <protection hidden="1"/>
    </xf>
    <xf numFmtId="167" fontId="16" fillId="3" borderId="95" xfId="3" applyNumberFormat="1" applyFont="1" applyFill="1" applyBorder="1" applyAlignment="1" applyProtection="1">
      <alignment horizontal="center" vertical="center" wrapText="1"/>
      <protection hidden="1"/>
    </xf>
    <xf numFmtId="172" fontId="16" fillId="3" borderId="31" xfId="3" applyNumberFormat="1" applyFont="1" applyFill="1" applyBorder="1" applyAlignment="1" applyProtection="1">
      <alignment horizontal="center" vertical="center" wrapText="1"/>
      <protection hidden="1"/>
    </xf>
    <xf numFmtId="173" fontId="16" fillId="3" borderId="31" xfId="0" applyNumberFormat="1" applyFont="1" applyFill="1" applyBorder="1" applyAlignment="1" applyProtection="1">
      <alignment horizontal="right"/>
      <protection hidden="1"/>
    </xf>
    <xf numFmtId="179" fontId="16" fillId="3" borderId="1" xfId="0" quotePrefix="1" applyNumberFormat="1" applyFont="1" applyFill="1" applyBorder="1" applyAlignment="1" applyProtection="1">
      <alignment horizontal="center"/>
      <protection hidden="1"/>
    </xf>
    <xf numFmtId="180" fontId="16" fillId="3" borderId="94" xfId="0" applyNumberFormat="1" applyFont="1" applyFill="1" applyBorder="1" applyAlignment="1" applyProtection="1">
      <alignment horizontal="left"/>
      <protection hidden="1"/>
    </xf>
    <xf numFmtId="0" fontId="8" fillId="3" borderId="0" xfId="2" applyNumberFormat="1" applyFont="1" applyFill="1" applyBorder="1" applyAlignment="1" applyProtection="1">
      <alignment horizontal="center"/>
      <protection hidden="1"/>
    </xf>
    <xf numFmtId="49" fontId="16" fillId="3" borderId="6" xfId="3" applyNumberFormat="1" applyFont="1" applyFill="1" applyBorder="1" applyAlignment="1" applyProtection="1">
      <alignment horizontal="left" vertical="center"/>
      <protection hidden="1"/>
    </xf>
    <xf numFmtId="0" fontId="8" fillId="3" borderId="7" xfId="3" applyFont="1" applyFill="1" applyBorder="1" applyAlignment="1" applyProtection="1">
      <alignment horizontal="left" vertical="center" wrapText="1"/>
      <protection hidden="1"/>
    </xf>
    <xf numFmtId="167" fontId="16" fillId="3" borderId="46" xfId="3" applyNumberFormat="1" applyFont="1" applyFill="1" applyBorder="1" applyAlignment="1" applyProtection="1">
      <alignment horizontal="center" vertical="center" wrapText="1"/>
      <protection hidden="1"/>
    </xf>
    <xf numFmtId="172" fontId="16" fillId="3" borderId="7" xfId="3" applyNumberFormat="1" applyFont="1" applyFill="1" applyBorder="1" applyAlignment="1" applyProtection="1">
      <alignment horizontal="center" vertical="center" wrapText="1"/>
      <protection hidden="1"/>
    </xf>
    <xf numFmtId="173" fontId="16" fillId="3" borderId="46" xfId="3" applyNumberFormat="1" applyFont="1" applyFill="1" applyBorder="1" applyAlignment="1" applyProtection="1">
      <alignment horizontal="center" vertical="center" wrapText="1"/>
      <protection hidden="1"/>
    </xf>
    <xf numFmtId="179" fontId="16" fillId="3" borderId="91" xfId="3" applyNumberFormat="1" applyFont="1" applyFill="1" applyBorder="1" applyAlignment="1" applyProtection="1">
      <alignment horizontal="center" vertical="center" wrapText="1"/>
      <protection hidden="1"/>
    </xf>
    <xf numFmtId="180" fontId="16" fillId="3" borderId="45" xfId="3" applyNumberFormat="1" applyFont="1" applyFill="1" applyBorder="1" applyAlignment="1" applyProtection="1">
      <alignment horizontal="center" vertical="center" wrapText="1"/>
      <protection hidden="1"/>
    </xf>
    <xf numFmtId="164" fontId="16" fillId="3" borderId="9" xfId="3" applyNumberFormat="1" applyFont="1" applyFill="1" applyBorder="1" applyAlignment="1" applyProtection="1">
      <alignment horizontal="left" vertical="center" wrapText="1"/>
      <protection hidden="1"/>
    </xf>
    <xf numFmtId="0" fontId="8" fillId="3" borderId="22" xfId="3" applyFont="1" applyFill="1" applyBorder="1" applyAlignment="1" applyProtection="1">
      <alignment horizontal="left" vertical="center" wrapText="1"/>
      <protection hidden="1"/>
    </xf>
    <xf numFmtId="173" fontId="16" fillId="3" borderId="11" xfId="3" applyNumberFormat="1" applyFont="1" applyFill="1" applyBorder="1" applyAlignment="1" applyProtection="1">
      <alignment horizontal="center" vertical="center" wrapText="1"/>
      <protection hidden="1"/>
    </xf>
    <xf numFmtId="179" fontId="16" fillId="3" borderId="52" xfId="3" applyNumberFormat="1" applyFont="1" applyFill="1" applyBorder="1" applyAlignment="1" applyProtection="1">
      <alignment horizontal="center" vertical="center" wrapText="1"/>
      <protection hidden="1"/>
    </xf>
    <xf numFmtId="180" fontId="16" fillId="3" borderId="22" xfId="3" applyNumberFormat="1" applyFont="1" applyFill="1" applyBorder="1" applyAlignment="1" applyProtection="1">
      <alignment horizontal="center" vertical="center" wrapText="1"/>
      <protection hidden="1"/>
    </xf>
    <xf numFmtId="172" fontId="17" fillId="3" borderId="24" xfId="0" applyNumberFormat="1" applyFont="1" applyFill="1" applyBorder="1" applyAlignment="1" applyProtection="1">
      <alignment horizontal="center"/>
      <protection hidden="1"/>
    </xf>
    <xf numFmtId="168" fontId="4" fillId="3" borderId="36" xfId="0" applyNumberFormat="1" applyFont="1" applyFill="1" applyBorder="1" applyAlignment="1" applyProtection="1">
      <protection hidden="1"/>
    </xf>
    <xf numFmtId="0" fontId="4" fillId="3" borderId="58" xfId="0" applyNumberFormat="1" applyFont="1" applyFill="1" applyBorder="1" applyAlignment="1" applyProtection="1">
      <alignment horizontal="center"/>
      <protection hidden="1"/>
    </xf>
    <xf numFmtId="0" fontId="8" fillId="3" borderId="22" xfId="3" applyNumberFormat="1" applyFont="1" applyFill="1" applyBorder="1" applyAlignment="1" applyProtection="1">
      <alignment horizontal="left" vertical="center" wrapText="1"/>
      <protection hidden="1"/>
    </xf>
    <xf numFmtId="0" fontId="16" fillId="3" borderId="23" xfId="0" applyNumberFormat="1" applyFont="1" applyFill="1" applyBorder="1" applyProtection="1">
      <protection hidden="1"/>
    </xf>
    <xf numFmtId="178" fontId="16" fillId="3" borderId="12" xfId="3" applyNumberFormat="1" applyFont="1" applyFill="1" applyBorder="1" applyAlignment="1" applyProtection="1">
      <alignment horizontal="center" vertical="center" wrapText="1"/>
      <protection hidden="1"/>
    </xf>
    <xf numFmtId="184" fontId="17" fillId="3" borderId="12" xfId="0" applyNumberFormat="1" applyFont="1" applyFill="1" applyBorder="1" applyAlignment="1" applyProtection="1">
      <alignment horizontal="center"/>
      <protection hidden="1"/>
    </xf>
    <xf numFmtId="49" fontId="16" fillId="3" borderId="9" xfId="0" applyNumberFormat="1" applyFont="1" applyFill="1" applyBorder="1" applyProtection="1">
      <protection hidden="1"/>
    </xf>
    <xf numFmtId="0" fontId="8" fillId="3" borderId="10" xfId="3" applyFont="1" applyFill="1" applyBorder="1" applyAlignment="1" applyProtection="1">
      <alignment vertical="center" wrapText="1"/>
      <protection hidden="1"/>
    </xf>
    <xf numFmtId="167" fontId="16" fillId="3" borderId="10" xfId="0" applyNumberFormat="1" applyFont="1" applyFill="1" applyBorder="1" applyAlignment="1" applyProtection="1">
      <alignment horizontal="center"/>
      <protection hidden="1"/>
    </xf>
    <xf numFmtId="184" fontId="17" fillId="3" borderId="12" xfId="0" applyNumberFormat="1" applyFont="1" applyFill="1" applyBorder="1" applyAlignment="1" applyProtection="1">
      <alignment horizontal="center"/>
      <protection locked="0" hidden="1"/>
    </xf>
    <xf numFmtId="0" fontId="30" fillId="3" borderId="0" xfId="3" applyFont="1" applyFill="1" applyProtection="1">
      <protection hidden="1"/>
    </xf>
    <xf numFmtId="172" fontId="17" fillId="3" borderId="28" xfId="0" applyNumberFormat="1" applyFont="1" applyFill="1" applyBorder="1" applyAlignment="1" applyProtection="1">
      <alignment horizontal="center"/>
      <protection hidden="1"/>
    </xf>
    <xf numFmtId="49" fontId="16" fillId="3" borderId="26" xfId="3" applyNumberFormat="1" applyFont="1" applyFill="1" applyBorder="1" applyAlignment="1" applyProtection="1">
      <alignment horizontal="left" vertical="center"/>
      <protection hidden="1"/>
    </xf>
    <xf numFmtId="0" fontId="8" fillId="3" borderId="30" xfId="3" applyNumberFormat="1" applyFont="1" applyFill="1" applyBorder="1" applyAlignment="1" applyProtection="1">
      <alignment horizontal="left" vertical="center" wrapText="1"/>
      <protection hidden="1"/>
    </xf>
    <xf numFmtId="167" fontId="16" fillId="3" borderId="31" xfId="3" applyNumberFormat="1" applyFont="1" applyFill="1" applyBorder="1" applyAlignment="1" applyProtection="1">
      <alignment horizontal="center" vertical="center" wrapText="1"/>
      <protection hidden="1"/>
    </xf>
    <xf numFmtId="173" fontId="16" fillId="3" borderId="31" xfId="3" applyNumberFormat="1" applyFont="1" applyFill="1" applyBorder="1" applyAlignment="1" applyProtection="1">
      <alignment horizontal="center" vertical="center" wrapText="1"/>
      <protection hidden="1"/>
    </xf>
    <xf numFmtId="179" fontId="16" fillId="3" borderId="93" xfId="3" applyNumberFormat="1" applyFont="1" applyFill="1" applyBorder="1" applyAlignment="1" applyProtection="1">
      <alignment horizontal="center" vertical="center" wrapText="1"/>
      <protection hidden="1"/>
    </xf>
    <xf numFmtId="180" fontId="16" fillId="3" borderId="30" xfId="3" applyNumberFormat="1" applyFont="1" applyFill="1" applyBorder="1" applyAlignment="1" applyProtection="1">
      <alignment horizontal="center" vertical="center" wrapText="1"/>
      <protection hidden="1"/>
    </xf>
    <xf numFmtId="0" fontId="16" fillId="3" borderId="0" xfId="0" applyFont="1" applyFill="1" applyBorder="1" applyAlignment="1" applyProtection="1">
      <alignment horizontal="left" vertical="center"/>
      <protection hidden="1"/>
    </xf>
    <xf numFmtId="0" fontId="31" fillId="3" borderId="0" xfId="0" applyFont="1" applyFill="1" applyBorder="1" applyAlignment="1" applyProtection="1">
      <alignment horizontal="center" vertical="center"/>
      <protection hidden="1"/>
    </xf>
    <xf numFmtId="167" fontId="74" fillId="3" borderId="0" xfId="0" applyNumberFormat="1" applyFont="1" applyFill="1" applyBorder="1" applyAlignment="1" applyProtection="1">
      <alignment horizontal="center" vertical="center"/>
      <protection hidden="1"/>
    </xf>
    <xf numFmtId="172" fontId="74" fillId="3" borderId="0" xfId="0" applyNumberFormat="1" applyFont="1" applyFill="1" applyBorder="1" applyAlignment="1" applyProtection="1">
      <alignment horizontal="center" vertical="center" wrapText="1"/>
      <protection hidden="1"/>
    </xf>
    <xf numFmtId="169" fontId="74" fillId="3" borderId="0" xfId="0" applyNumberFormat="1" applyFont="1" applyFill="1" applyBorder="1" applyAlignment="1" applyProtection="1">
      <alignment horizontal="center" vertical="center" wrapText="1"/>
      <protection hidden="1"/>
    </xf>
    <xf numFmtId="178" fontId="74" fillId="3" borderId="0" xfId="0" applyNumberFormat="1" applyFont="1" applyFill="1" applyBorder="1" applyAlignment="1" applyProtection="1">
      <alignment horizontal="center" vertical="center" wrapText="1"/>
      <protection hidden="1"/>
    </xf>
    <xf numFmtId="0" fontId="33" fillId="3" borderId="0" xfId="3" applyNumberFormat="1" applyFont="1" applyFill="1" applyBorder="1" applyAlignment="1" applyProtection="1">
      <alignment horizontal="left" vertical="center"/>
      <protection hidden="1"/>
    </xf>
    <xf numFmtId="0" fontId="30" fillId="3" borderId="0" xfId="3" applyNumberFormat="1" applyFont="1" applyFill="1" applyBorder="1" applyAlignment="1" applyProtection="1">
      <alignment horizontal="left" vertical="center" wrapText="1"/>
      <protection hidden="1"/>
    </xf>
    <xf numFmtId="164" fontId="34" fillId="3" borderId="0" xfId="3" applyNumberFormat="1" applyFont="1" applyFill="1" applyBorder="1" applyAlignment="1" applyProtection="1">
      <alignment horizontal="center" vertical="center" wrapText="1"/>
      <protection hidden="1"/>
    </xf>
    <xf numFmtId="164" fontId="14" fillId="3" borderId="0" xfId="0" applyNumberFormat="1" applyFont="1" applyFill="1" applyBorder="1" applyAlignment="1" applyProtection="1">
      <alignment horizontal="center"/>
      <protection hidden="1"/>
    </xf>
    <xf numFmtId="0" fontId="35" fillId="3" borderId="0" xfId="0" applyFont="1" applyFill="1" applyBorder="1" applyAlignment="1" applyProtection="1">
      <alignment horizontal="center" vertical="center"/>
      <protection hidden="1"/>
    </xf>
    <xf numFmtId="0" fontId="33" fillId="3" borderId="0" xfId="3" applyNumberFormat="1" applyFont="1" applyFill="1" applyBorder="1" applyAlignment="1" applyProtection="1">
      <alignment vertical="center" wrapText="1"/>
      <protection hidden="1"/>
    </xf>
    <xf numFmtId="0" fontId="30" fillId="3" borderId="0" xfId="3" applyNumberFormat="1" applyFont="1" applyFill="1" applyBorder="1" applyAlignment="1" applyProtection="1">
      <alignment vertical="center" wrapText="1"/>
      <protection hidden="1"/>
    </xf>
    <xf numFmtId="164" fontId="36" fillId="3" borderId="0" xfId="3" applyNumberFormat="1" applyFont="1" applyFill="1" applyBorder="1" applyAlignment="1" applyProtection="1">
      <alignment horizontal="center" vertical="center" wrapText="1"/>
      <protection hidden="1"/>
    </xf>
    <xf numFmtId="164" fontId="19" fillId="3" borderId="0" xfId="0" applyNumberFormat="1" applyFont="1" applyFill="1" applyBorder="1" applyAlignment="1" applyProtection="1">
      <alignment horizontal="center" vertical="center"/>
      <protection hidden="1"/>
    </xf>
    <xf numFmtId="164" fontId="4" fillId="3" borderId="0" xfId="0" applyNumberFormat="1" applyFont="1" applyFill="1" applyBorder="1" applyProtection="1">
      <protection hidden="1"/>
    </xf>
    <xf numFmtId="0" fontId="6" fillId="3" borderId="0" xfId="0" applyNumberFormat="1" applyFont="1" applyFill="1" applyProtection="1">
      <protection hidden="1"/>
    </xf>
    <xf numFmtId="0" fontId="33" fillId="3" borderId="0" xfId="3" applyNumberFormat="1" applyFont="1" applyFill="1" applyBorder="1" applyAlignment="1" applyProtection="1">
      <alignment horizontal="left" vertical="center" wrapText="1"/>
      <protection hidden="1"/>
    </xf>
    <xf numFmtId="0" fontId="25" fillId="3" borderId="0" xfId="2" applyNumberFormat="1" applyFont="1" applyFill="1" applyBorder="1" applyAlignment="1" applyProtection="1">
      <alignment horizontal="left" vertical="center"/>
      <protection hidden="1"/>
    </xf>
    <xf numFmtId="0" fontId="25" fillId="3" borderId="0" xfId="2" applyNumberFormat="1" applyFont="1" applyFill="1" applyBorder="1" applyAlignment="1" applyProtection="1">
      <alignment horizontal="left" vertical="center" wrapText="1"/>
      <protection hidden="1"/>
    </xf>
    <xf numFmtId="164" fontId="25" fillId="3" borderId="0" xfId="2" applyNumberFormat="1" applyFont="1" applyFill="1" applyBorder="1" applyAlignment="1" applyProtection="1">
      <alignment horizontal="center" vertical="center" wrapText="1"/>
      <protection hidden="1"/>
    </xf>
    <xf numFmtId="164" fontId="25" fillId="3" borderId="0" xfId="2" applyNumberFormat="1" applyFont="1" applyFill="1" applyBorder="1" applyAlignment="1" applyProtection="1">
      <alignment horizontal="center"/>
      <protection hidden="1"/>
    </xf>
    <xf numFmtId="0" fontId="12" fillId="3" borderId="15" xfId="3" applyFont="1" applyFill="1" applyBorder="1" applyAlignment="1" applyProtection="1">
      <alignment horizontal="left" vertical="center"/>
      <protection hidden="1"/>
    </xf>
    <xf numFmtId="0" fontId="12" fillId="3" borderId="17" xfId="3" applyFont="1" applyFill="1" applyBorder="1" applyAlignment="1" applyProtection="1">
      <alignment horizontal="left" vertical="center" wrapText="1"/>
      <protection hidden="1"/>
    </xf>
    <xf numFmtId="167" fontId="12" fillId="3" borderId="17" xfId="3" applyNumberFormat="1" applyFont="1" applyFill="1" applyBorder="1" applyAlignment="1" applyProtection="1">
      <alignment horizontal="center" vertical="center" wrapText="1"/>
      <protection hidden="1"/>
    </xf>
    <xf numFmtId="169" fontId="3" fillId="3" borderId="17" xfId="3" applyNumberFormat="1" applyFont="1" applyFill="1" applyBorder="1" applyAlignment="1" applyProtection="1">
      <alignment horizontal="center" vertical="center" wrapText="1"/>
      <protection hidden="1"/>
    </xf>
    <xf numFmtId="178" fontId="3" fillId="3" borderId="19" xfId="3" applyNumberFormat="1" applyFont="1" applyFill="1" applyBorder="1" applyAlignment="1" applyProtection="1">
      <alignment horizontal="center" vertical="center" wrapText="1"/>
      <protection hidden="1"/>
    </xf>
    <xf numFmtId="49" fontId="4" fillId="3" borderId="7" xfId="3" quotePrefix="1" applyNumberFormat="1" applyFont="1" applyFill="1" applyBorder="1" applyAlignment="1" applyProtection="1">
      <alignment horizontal="left" vertical="center"/>
      <protection hidden="1"/>
    </xf>
    <xf numFmtId="167" fontId="14" fillId="3" borderId="7" xfId="3" applyNumberFormat="1" applyFont="1" applyFill="1" applyBorder="1" applyAlignment="1" applyProtection="1">
      <alignment horizontal="center" vertical="center" wrapText="1"/>
      <protection hidden="1"/>
    </xf>
    <xf numFmtId="172" fontId="16" fillId="3" borderId="12" xfId="3" applyNumberFormat="1" applyFont="1" applyFill="1" applyBorder="1" applyAlignment="1" applyProtection="1">
      <alignment horizontal="center" vertical="center" wrapText="1"/>
      <protection hidden="1"/>
    </xf>
    <xf numFmtId="0" fontId="4" fillId="3" borderId="10" xfId="3" applyFont="1" applyFill="1" applyBorder="1" applyAlignment="1" applyProtection="1">
      <alignment horizontal="left" vertical="center"/>
      <protection hidden="1"/>
    </xf>
    <xf numFmtId="167" fontId="14" fillId="3" borderId="10" xfId="3" applyNumberFormat="1" applyFont="1" applyFill="1" applyBorder="1" applyAlignment="1" applyProtection="1">
      <alignment horizontal="center" vertical="center" wrapText="1"/>
      <protection hidden="1"/>
    </xf>
    <xf numFmtId="172" fontId="14" fillId="3" borderId="10" xfId="3" applyNumberFormat="1" applyFont="1" applyFill="1" applyBorder="1" applyAlignment="1" applyProtection="1">
      <alignment horizontal="center" vertical="center" wrapText="1"/>
      <protection hidden="1"/>
    </xf>
    <xf numFmtId="173" fontId="16" fillId="3" borderId="56" xfId="0" applyNumberFormat="1" applyFont="1" applyFill="1" applyBorder="1" applyAlignment="1" applyProtection="1">
      <alignment horizontal="right"/>
      <protection hidden="1"/>
    </xf>
    <xf numFmtId="179" fontId="16" fillId="3" borderId="41" xfId="0" quotePrefix="1" applyNumberFormat="1" applyFont="1" applyFill="1" applyBorder="1" applyAlignment="1" applyProtection="1">
      <alignment horizontal="center"/>
      <protection hidden="1"/>
    </xf>
    <xf numFmtId="180" fontId="16" fillId="3" borderId="57" xfId="0" applyNumberFormat="1" applyFont="1" applyFill="1" applyBorder="1" applyAlignment="1" applyProtection="1">
      <alignment horizontal="left"/>
      <protection hidden="1"/>
    </xf>
    <xf numFmtId="172" fontId="14" fillId="3" borderId="12" xfId="3" applyNumberFormat="1" applyFont="1" applyFill="1" applyBorder="1" applyAlignment="1" applyProtection="1">
      <alignment horizontal="center" vertical="center" wrapText="1"/>
      <protection hidden="1"/>
    </xf>
    <xf numFmtId="0" fontId="14" fillId="3" borderId="9" xfId="3" applyFont="1" applyFill="1" applyBorder="1" applyAlignment="1" applyProtection="1">
      <alignment horizontal="left" vertical="center"/>
      <protection hidden="1"/>
    </xf>
    <xf numFmtId="0" fontId="8" fillId="3" borderId="10" xfId="3" applyFont="1" applyFill="1" applyBorder="1" applyAlignment="1" applyProtection="1">
      <alignment horizontal="left" vertical="center"/>
      <protection hidden="1"/>
    </xf>
    <xf numFmtId="172" fontId="14" fillId="3" borderId="11" xfId="3" applyNumberFormat="1" applyFont="1" applyFill="1" applyBorder="1" applyAlignment="1" applyProtection="1">
      <alignment horizontal="center" vertical="center" wrapText="1"/>
      <protection hidden="1"/>
    </xf>
    <xf numFmtId="172" fontId="14" fillId="3" borderId="22" xfId="3" applyNumberFormat="1" applyFont="1" applyFill="1" applyBorder="1" applyAlignment="1" applyProtection="1">
      <alignment horizontal="center" vertical="center" wrapText="1"/>
      <protection hidden="1"/>
    </xf>
    <xf numFmtId="0" fontId="8" fillId="3" borderId="10" xfId="3" applyFont="1" applyFill="1" applyBorder="1" applyAlignment="1" applyProtection="1">
      <alignment horizontal="left" vertical="center" wrapText="1"/>
      <protection hidden="1"/>
    </xf>
    <xf numFmtId="167" fontId="16" fillId="3" borderId="10" xfId="3" applyNumberFormat="1" applyFont="1" applyFill="1" applyBorder="1" applyAlignment="1" applyProtection="1">
      <alignment horizontal="center" vertical="center" wrapText="1"/>
      <protection hidden="1"/>
    </xf>
    <xf numFmtId="49" fontId="14" fillId="3" borderId="9" xfId="3" applyNumberFormat="1" applyFont="1" applyFill="1" applyBorder="1" applyAlignment="1" applyProtection="1">
      <alignment vertical="center"/>
      <protection hidden="1"/>
    </xf>
    <xf numFmtId="0" fontId="0" fillId="3" borderId="43" xfId="0" applyFill="1" applyBorder="1"/>
    <xf numFmtId="0" fontId="0" fillId="3" borderId="1" xfId="0" applyFill="1" applyBorder="1"/>
    <xf numFmtId="0" fontId="0" fillId="3" borderId="1" xfId="0" quotePrefix="1" applyFill="1" applyBorder="1"/>
    <xf numFmtId="49" fontId="8" fillId="3" borderId="7" xfId="3" applyNumberFormat="1" applyFont="1" applyFill="1" applyBorder="1" applyAlignment="1" applyProtection="1">
      <alignment horizontal="left" vertical="center" wrapText="1"/>
      <protection hidden="1"/>
    </xf>
    <xf numFmtId="181" fontId="16" fillId="3" borderId="7" xfId="3" applyNumberFormat="1" applyFont="1" applyFill="1" applyBorder="1" applyAlignment="1" applyProtection="1">
      <alignment horizontal="center" vertical="center" wrapText="1"/>
      <protection hidden="1"/>
    </xf>
    <xf numFmtId="172" fontId="16" fillId="3" borderId="46" xfId="3" applyNumberFormat="1" applyFont="1" applyFill="1" applyBorder="1" applyAlignment="1" applyProtection="1">
      <alignment horizontal="center" vertical="center" wrapText="1"/>
      <protection hidden="1"/>
    </xf>
    <xf numFmtId="49" fontId="14" fillId="3" borderId="32" xfId="3" applyNumberFormat="1" applyFont="1" applyFill="1" applyBorder="1" applyAlignment="1" applyProtection="1">
      <alignment horizontal="left" vertical="center"/>
      <protection hidden="1"/>
    </xf>
    <xf numFmtId="49" fontId="8" fillId="3" borderId="33" xfId="3" applyNumberFormat="1" applyFont="1" applyFill="1" applyBorder="1" applyAlignment="1" applyProtection="1">
      <alignment horizontal="left" vertical="center" wrapText="1"/>
      <protection hidden="1"/>
    </xf>
    <xf numFmtId="49" fontId="8" fillId="3" borderId="10" xfId="3" applyNumberFormat="1" applyFont="1" applyFill="1" applyBorder="1" applyAlignment="1" applyProtection="1">
      <alignment horizontal="left" vertical="center" wrapText="1"/>
      <protection hidden="1"/>
    </xf>
    <xf numFmtId="0" fontId="14" fillId="3" borderId="37" xfId="3" applyFont="1" applyFill="1" applyBorder="1" applyAlignment="1" applyProtection="1">
      <alignment vertical="center"/>
      <protection hidden="1"/>
    </xf>
    <xf numFmtId="0" fontId="14" fillId="3" borderId="38" xfId="3" applyFont="1" applyFill="1" applyBorder="1" applyAlignment="1" applyProtection="1">
      <alignment vertical="center"/>
      <protection hidden="1"/>
    </xf>
    <xf numFmtId="173" fontId="14" fillId="3" borderId="0" xfId="3" applyNumberFormat="1" applyFont="1" applyFill="1" applyBorder="1" applyAlignment="1" applyProtection="1">
      <alignment vertical="center"/>
      <protection hidden="1"/>
    </xf>
    <xf numFmtId="179" fontId="14" fillId="3" borderId="0" xfId="3" applyNumberFormat="1" applyFont="1" applyFill="1" applyBorder="1" applyAlignment="1" applyProtection="1">
      <alignment horizontal="center" vertical="center"/>
      <protection hidden="1"/>
    </xf>
    <xf numFmtId="180" fontId="14" fillId="3" borderId="0" xfId="3" applyNumberFormat="1" applyFont="1" applyFill="1" applyBorder="1" applyAlignment="1" applyProtection="1">
      <alignment vertical="center"/>
      <protection hidden="1"/>
    </xf>
    <xf numFmtId="49" fontId="8" fillId="3" borderId="27" xfId="3" applyNumberFormat="1" applyFont="1" applyFill="1" applyBorder="1" applyAlignment="1" applyProtection="1">
      <alignment horizontal="left" vertical="center" wrapText="1"/>
      <protection hidden="1"/>
    </xf>
    <xf numFmtId="167" fontId="16" fillId="3" borderId="27" xfId="3" applyNumberFormat="1" applyFont="1" applyFill="1" applyBorder="1" applyAlignment="1" applyProtection="1">
      <alignment horizontal="center" vertical="center" wrapText="1"/>
      <protection hidden="1"/>
    </xf>
    <xf numFmtId="172" fontId="16" fillId="3" borderId="27" xfId="3" applyNumberFormat="1" applyFont="1" applyFill="1" applyBorder="1" applyAlignment="1" applyProtection="1">
      <alignment horizontal="center" vertical="center" wrapText="1"/>
      <protection hidden="1"/>
    </xf>
    <xf numFmtId="179" fontId="16" fillId="3" borderId="93" xfId="0" quotePrefix="1" applyNumberFormat="1" applyFont="1" applyFill="1" applyBorder="1" applyAlignment="1" applyProtection="1">
      <alignment horizontal="center"/>
      <protection hidden="1"/>
    </xf>
    <xf numFmtId="180" fontId="16" fillId="3" borderId="30" xfId="0" applyNumberFormat="1" applyFont="1" applyFill="1" applyBorder="1" applyAlignment="1" applyProtection="1">
      <alignment horizontal="left"/>
      <protection hidden="1"/>
    </xf>
    <xf numFmtId="49" fontId="14" fillId="3" borderId="0" xfId="3" applyNumberFormat="1" applyFont="1" applyFill="1" applyBorder="1" applyAlignment="1" applyProtection="1">
      <alignment horizontal="left" vertical="center"/>
      <protection hidden="1"/>
    </xf>
    <xf numFmtId="172" fontId="16" fillId="3" borderId="4" xfId="3" applyNumberFormat="1" applyFont="1" applyFill="1" applyBorder="1" applyAlignment="1" applyProtection="1">
      <alignment horizontal="center" vertical="center" wrapText="1"/>
      <protection hidden="1"/>
    </xf>
    <xf numFmtId="173" fontId="16" fillId="3" borderId="0" xfId="0" applyNumberFormat="1" applyFont="1" applyFill="1" applyBorder="1" applyAlignment="1" applyProtection="1">
      <alignment horizontal="right"/>
      <protection hidden="1"/>
    </xf>
    <xf numFmtId="179" fontId="16" fillId="3" borderId="0" xfId="0" quotePrefix="1" applyNumberFormat="1" applyFont="1" applyFill="1" applyBorder="1" applyAlignment="1" applyProtection="1">
      <alignment horizontal="center"/>
      <protection hidden="1"/>
    </xf>
    <xf numFmtId="180" fontId="16" fillId="3" borderId="0" xfId="0" applyNumberFormat="1" applyFont="1" applyFill="1" applyBorder="1" applyAlignment="1" applyProtection="1">
      <alignment horizontal="left"/>
      <protection hidden="1"/>
    </xf>
    <xf numFmtId="178" fontId="16" fillId="3" borderId="0" xfId="0" applyNumberFormat="1" applyFont="1" applyFill="1" applyBorder="1" applyAlignment="1" applyProtection="1">
      <alignment horizontal="center"/>
      <protection hidden="1"/>
    </xf>
    <xf numFmtId="0" fontId="15" fillId="3" borderId="4" xfId="3" applyFont="1" applyFill="1" applyBorder="1" applyAlignment="1" applyProtection="1">
      <alignment vertical="center" textRotation="180" wrapText="1"/>
      <protection hidden="1"/>
    </xf>
    <xf numFmtId="168" fontId="4" fillId="3" borderId="49" xfId="0" applyNumberFormat="1" applyFont="1" applyFill="1" applyBorder="1" applyAlignment="1" applyProtection="1">
      <protection hidden="1"/>
    </xf>
    <xf numFmtId="49" fontId="59" fillId="16" borderId="59" xfId="0" applyNumberFormat="1" applyFont="1" applyFill="1" applyBorder="1" applyAlignment="1">
      <alignment horizontal="center" vertical="center" readingOrder="1"/>
    </xf>
    <xf numFmtId="49" fontId="59" fillId="16" borderId="33" xfId="0" applyNumberFormat="1" applyFont="1" applyFill="1" applyBorder="1" applyAlignment="1">
      <alignment horizontal="center" vertical="center" readingOrder="1"/>
    </xf>
    <xf numFmtId="0" fontId="16" fillId="3" borderId="15" xfId="0" applyNumberFormat="1" applyFont="1" applyFill="1" applyBorder="1" applyAlignment="1" applyProtection="1">
      <protection hidden="1"/>
    </xf>
    <xf numFmtId="0" fontId="16" fillId="3" borderId="15" xfId="0" applyFont="1" applyFill="1" applyBorder="1" applyAlignment="1" applyProtection="1">
      <protection hidden="1"/>
    </xf>
    <xf numFmtId="168" fontId="14" fillId="30" borderId="19" xfId="0" applyNumberFormat="1" applyFont="1" applyFill="1" applyBorder="1" applyAlignment="1" applyProtection="1">
      <alignment horizontal="center"/>
      <protection hidden="1"/>
    </xf>
    <xf numFmtId="0" fontId="82" fillId="28" borderId="21" xfId="5" applyNumberFormat="1" applyFont="1" applyFill="1" applyBorder="1" applyAlignment="1" applyProtection="1">
      <alignment vertical="top" wrapText="1"/>
    </xf>
    <xf numFmtId="0" fontId="82" fillId="28" borderId="25" xfId="5" applyNumberFormat="1" applyFont="1" applyFill="1" applyBorder="1" applyAlignment="1" applyProtection="1">
      <alignment vertical="top" wrapText="1"/>
    </xf>
    <xf numFmtId="0" fontId="15" fillId="3" borderId="14" xfId="3" applyFont="1" applyFill="1" applyBorder="1" applyAlignment="1" applyProtection="1">
      <alignment horizontal="center" vertical="center" textRotation="180"/>
      <protection hidden="1"/>
    </xf>
    <xf numFmtId="0" fontId="15" fillId="3" borderId="21" xfId="3" applyFont="1" applyFill="1" applyBorder="1" applyAlignment="1" applyProtection="1">
      <alignment horizontal="center" vertical="center" textRotation="180"/>
      <protection hidden="1"/>
    </xf>
    <xf numFmtId="0" fontId="15" fillId="3" borderId="14" xfId="3" applyFont="1" applyFill="1" applyBorder="1" applyAlignment="1" applyProtection="1">
      <alignment horizontal="center" vertical="center" textRotation="180" wrapText="1"/>
      <protection hidden="1"/>
    </xf>
    <xf numFmtId="0" fontId="15" fillId="3" borderId="21" xfId="3" applyFont="1" applyFill="1" applyBorder="1" applyAlignment="1" applyProtection="1">
      <alignment horizontal="center" vertical="center" textRotation="180" wrapText="1"/>
      <protection hidden="1"/>
    </xf>
    <xf numFmtId="0" fontId="15" fillId="3" borderId="25" xfId="3" applyFont="1" applyFill="1" applyBorder="1" applyAlignment="1" applyProtection="1">
      <alignment horizontal="center" vertical="center" textRotation="180" wrapText="1"/>
      <protection hidden="1"/>
    </xf>
    <xf numFmtId="0" fontId="15" fillId="3" borderId="25" xfId="3" applyFont="1" applyFill="1" applyBorder="1" applyAlignment="1" applyProtection="1">
      <alignment horizontal="center" vertical="center" textRotation="180"/>
      <protection hidden="1"/>
    </xf>
    <xf numFmtId="178" fontId="16" fillId="3" borderId="20" xfId="3" applyNumberFormat="1" applyFont="1" applyFill="1" applyBorder="1" applyAlignment="1" applyProtection="1">
      <alignment horizontal="center" vertical="center" wrapText="1"/>
      <protection hidden="1"/>
    </xf>
    <xf numFmtId="178" fontId="16" fillId="3" borderId="61" xfId="3" applyNumberFormat="1" applyFont="1" applyFill="1" applyBorder="1" applyAlignment="1" applyProtection="1">
      <alignment horizontal="center" vertical="center" wrapText="1"/>
      <protection hidden="1"/>
    </xf>
    <xf numFmtId="178" fontId="16" fillId="3" borderId="65" xfId="3" applyNumberFormat="1" applyFont="1" applyFill="1" applyBorder="1" applyAlignment="1" applyProtection="1">
      <alignment horizontal="center" vertical="center" wrapText="1"/>
      <protection hidden="1"/>
    </xf>
    <xf numFmtId="178" fontId="16" fillId="3" borderId="88" xfId="3" applyNumberFormat="1" applyFont="1" applyFill="1" applyBorder="1" applyAlignment="1" applyProtection="1">
      <alignment horizontal="center" vertical="center" wrapText="1"/>
      <protection hidden="1"/>
    </xf>
    <xf numFmtId="178" fontId="16" fillId="3" borderId="8" xfId="3" applyNumberFormat="1" applyFont="1" applyFill="1" applyBorder="1" applyAlignment="1" applyProtection="1">
      <alignment horizontal="center" vertical="center" wrapText="1"/>
      <protection hidden="1"/>
    </xf>
    <xf numFmtId="0" fontId="14" fillId="3" borderId="0" xfId="0" applyFont="1" applyFill="1" applyBorder="1" applyAlignment="1" applyProtection="1">
      <alignment horizontal="center"/>
      <protection hidden="1"/>
    </xf>
    <xf numFmtId="0" fontId="4" fillId="3" borderId="15" xfId="0" applyFont="1" applyFill="1" applyBorder="1" applyAlignment="1" applyProtection="1">
      <alignment horizontal="center"/>
      <protection hidden="1"/>
    </xf>
    <xf numFmtId="0" fontId="4" fillId="3" borderId="17" xfId="0" applyFont="1" applyFill="1" applyBorder="1" applyAlignment="1" applyProtection="1">
      <alignment horizontal="center"/>
      <protection hidden="1"/>
    </xf>
    <xf numFmtId="0" fontId="4" fillId="3" borderId="0" xfId="0" applyFont="1" applyFill="1" applyAlignment="1" applyProtection="1">
      <alignment horizontal="center" vertical="top" wrapText="1"/>
      <protection hidden="1"/>
    </xf>
    <xf numFmtId="14" fontId="8" fillId="6" borderId="10" xfId="0" applyNumberFormat="1" applyFont="1" applyFill="1" applyBorder="1" applyAlignment="1" applyProtection="1">
      <alignment horizontal="left"/>
      <protection locked="0" hidden="1"/>
    </xf>
    <xf numFmtId="14" fontId="8" fillId="6" borderId="12" xfId="0" applyNumberFormat="1" applyFont="1" applyFill="1" applyBorder="1" applyAlignment="1" applyProtection="1">
      <alignment horizontal="left"/>
      <protection locked="0" hidden="1"/>
    </xf>
    <xf numFmtId="14" fontId="8" fillId="6" borderId="11" xfId="0" applyNumberFormat="1" applyFont="1" applyFill="1" applyBorder="1" applyAlignment="1" applyProtection="1">
      <alignment horizontal="left"/>
      <protection locked="0" hidden="1"/>
    </xf>
    <xf numFmtId="14" fontId="8" fillId="6" borderId="52" xfId="0" applyNumberFormat="1" applyFont="1" applyFill="1" applyBorder="1" applyAlignment="1" applyProtection="1">
      <alignment horizontal="left"/>
      <protection locked="0" hidden="1"/>
    </xf>
    <xf numFmtId="14" fontId="8" fillId="6" borderId="92" xfId="0" applyNumberFormat="1" applyFont="1" applyFill="1" applyBorder="1" applyAlignment="1" applyProtection="1">
      <alignment horizontal="left"/>
      <protection locked="0" hidden="1"/>
    </xf>
    <xf numFmtId="0" fontId="16" fillId="3" borderId="3" xfId="0" applyFont="1" applyFill="1" applyBorder="1" applyAlignment="1" applyProtection="1">
      <alignment horizontal="center"/>
      <protection hidden="1"/>
    </xf>
    <xf numFmtId="0" fontId="16" fillId="3" borderId="4" xfId="0" applyFont="1" applyFill="1" applyBorder="1" applyAlignment="1" applyProtection="1">
      <alignment horizontal="center"/>
      <protection hidden="1"/>
    </xf>
    <xf numFmtId="0" fontId="16" fillId="3" borderId="5" xfId="0" applyFont="1" applyFill="1" applyBorder="1" applyAlignment="1" applyProtection="1">
      <alignment horizontal="center"/>
      <protection hidden="1"/>
    </xf>
    <xf numFmtId="0" fontId="89" fillId="3" borderId="0" xfId="0" applyFont="1" applyFill="1" applyAlignment="1">
      <alignment horizontal="center"/>
    </xf>
    <xf numFmtId="0" fontId="4" fillId="3" borderId="103" xfId="0" applyFont="1" applyFill="1" applyBorder="1" applyAlignment="1" applyProtection="1">
      <alignment horizontal="center" vertical="center" wrapText="1"/>
      <protection hidden="1"/>
    </xf>
    <xf numFmtId="0" fontId="4" fillId="3" borderId="34" xfId="0" applyFont="1" applyFill="1" applyBorder="1" applyAlignment="1" applyProtection="1">
      <alignment horizontal="center" vertical="center" wrapText="1"/>
      <protection hidden="1"/>
    </xf>
    <xf numFmtId="0" fontId="4" fillId="3" borderId="54" xfId="0" applyFont="1" applyFill="1" applyBorder="1" applyAlignment="1" applyProtection="1">
      <alignment horizontal="center" vertical="center" wrapText="1"/>
      <protection hidden="1"/>
    </xf>
    <xf numFmtId="0" fontId="4" fillId="3" borderId="13" xfId="0" applyFont="1" applyFill="1" applyBorder="1" applyAlignment="1" applyProtection="1">
      <alignment horizontal="center" vertical="center" wrapText="1"/>
      <protection hidden="1"/>
    </xf>
    <xf numFmtId="0" fontId="4" fillId="3" borderId="95" xfId="0" applyFont="1" applyFill="1" applyBorder="1" applyAlignment="1" applyProtection="1">
      <alignment horizontal="center" vertical="center" wrapText="1"/>
      <protection hidden="1"/>
    </xf>
    <xf numFmtId="0" fontId="4" fillId="3" borderId="44" xfId="0" applyFont="1" applyFill="1" applyBorder="1" applyAlignment="1" applyProtection="1">
      <alignment horizontal="center" vertical="center" wrapText="1"/>
      <protection hidden="1"/>
    </xf>
    <xf numFmtId="0" fontId="90" fillId="3" borderId="0" xfId="0" applyFont="1" applyFill="1" applyAlignment="1" applyProtection="1">
      <alignment horizontal="center" wrapText="1"/>
      <protection hidden="1"/>
    </xf>
    <xf numFmtId="0" fontId="14" fillId="3" borderId="1" xfId="0" applyFont="1" applyFill="1" applyBorder="1" applyAlignment="1" applyProtection="1">
      <alignment horizontal="center"/>
      <protection hidden="1"/>
    </xf>
    <xf numFmtId="14" fontId="5" fillId="6" borderId="95" xfId="0" applyNumberFormat="1" applyFont="1" applyFill="1" applyBorder="1" applyAlignment="1" applyProtection="1">
      <alignment horizontal="left"/>
      <protection locked="0" hidden="1"/>
    </xf>
    <xf numFmtId="14" fontId="5" fillId="6" borderId="1" xfId="0" applyNumberFormat="1" applyFont="1" applyFill="1" applyBorder="1" applyAlignment="1" applyProtection="1">
      <alignment horizontal="left"/>
      <protection locked="0" hidden="1"/>
    </xf>
    <xf numFmtId="14" fontId="5" fillId="6" borderId="44" xfId="0" applyNumberFormat="1" applyFont="1" applyFill="1" applyBorder="1" applyAlignment="1" applyProtection="1">
      <alignment horizontal="left"/>
      <protection locked="0" hidden="1"/>
    </xf>
    <xf numFmtId="0" fontId="0" fillId="3" borderId="0" xfId="0" applyFill="1" applyAlignment="1">
      <alignment horizontal="center"/>
    </xf>
    <xf numFmtId="14" fontId="5" fillId="6" borderId="11" xfId="0" applyNumberFormat="1" applyFont="1" applyFill="1" applyBorder="1" applyAlignment="1" applyProtection="1">
      <alignment horizontal="left"/>
      <protection locked="0" hidden="1"/>
    </xf>
    <xf numFmtId="14" fontId="5" fillId="6" borderId="52" xfId="0" applyNumberFormat="1" applyFont="1" applyFill="1" applyBorder="1" applyAlignment="1" applyProtection="1">
      <alignment horizontal="left"/>
      <protection locked="0" hidden="1"/>
    </xf>
    <xf numFmtId="14" fontId="5" fillId="6" borderId="92" xfId="0" applyNumberFormat="1" applyFont="1" applyFill="1" applyBorder="1" applyAlignment="1" applyProtection="1">
      <alignment horizontal="left"/>
      <protection locked="0" hidden="1"/>
    </xf>
    <xf numFmtId="0" fontId="85" fillId="3" borderId="60" xfId="0" applyFont="1" applyFill="1" applyBorder="1" applyAlignment="1" applyProtection="1">
      <alignment horizontal="right" vertical="top"/>
      <protection locked="0" hidden="1"/>
    </xf>
    <xf numFmtId="0" fontId="85" fillId="3" borderId="89" xfId="0" applyFont="1" applyFill="1" applyBorder="1" applyAlignment="1" applyProtection="1">
      <alignment horizontal="right" vertical="top"/>
      <protection locked="0" hidden="1"/>
    </xf>
    <xf numFmtId="0" fontId="3" fillId="3" borderId="17" xfId="0" applyFont="1" applyFill="1" applyBorder="1" applyAlignment="1" applyProtection="1">
      <alignment horizontal="center"/>
      <protection hidden="1"/>
    </xf>
    <xf numFmtId="14" fontId="8" fillId="6" borderId="7" xfId="0" applyNumberFormat="1" applyFont="1" applyFill="1" applyBorder="1" applyAlignment="1" applyProtection="1">
      <alignment horizontal="left"/>
      <protection locked="0" hidden="1"/>
    </xf>
    <xf numFmtId="14" fontId="8" fillId="6" borderId="24" xfId="0" applyNumberFormat="1" applyFont="1" applyFill="1" applyBorder="1" applyAlignment="1" applyProtection="1">
      <alignment horizontal="left"/>
      <protection locked="0" hidden="1"/>
    </xf>
    <xf numFmtId="0" fontId="8" fillId="3" borderId="0" xfId="3" applyFont="1" applyFill="1" applyAlignment="1" applyProtection="1">
      <alignment horizontal="left" vertical="center" wrapText="1"/>
      <protection hidden="1"/>
    </xf>
    <xf numFmtId="0" fontId="8" fillId="3" borderId="0" xfId="3" applyFont="1" applyFill="1" applyAlignment="1" applyProtection="1">
      <alignment horizontal="left" vertical="center"/>
      <protection hidden="1"/>
    </xf>
    <xf numFmtId="0" fontId="9" fillId="3" borderId="1" xfId="0" applyFont="1" applyFill="1" applyBorder="1" applyAlignment="1" applyProtection="1">
      <alignment horizontal="center"/>
      <protection hidden="1"/>
    </xf>
    <xf numFmtId="0" fontId="47" fillId="18" borderId="10" xfId="0" applyFont="1" applyFill="1" applyBorder="1" applyAlignment="1">
      <alignment horizontal="center" vertical="center" wrapText="1" readingOrder="1"/>
    </xf>
    <xf numFmtId="0" fontId="47" fillId="18" borderId="4" xfId="0" quotePrefix="1" applyFont="1" applyFill="1" applyBorder="1" applyAlignment="1">
      <alignment horizontal="center" vertical="center" wrapText="1" readingOrder="1"/>
    </xf>
    <xf numFmtId="0" fontId="47" fillId="18" borderId="5" xfId="0" quotePrefix="1" applyFont="1" applyFill="1" applyBorder="1" applyAlignment="1">
      <alignment horizontal="center" vertical="center" wrapText="1" readingOrder="1"/>
    </xf>
    <xf numFmtId="0" fontId="47" fillId="18" borderId="3" xfId="0" quotePrefix="1" applyFont="1" applyFill="1" applyBorder="1" applyAlignment="1">
      <alignment horizontal="center" vertical="center" wrapText="1" readingOrder="1"/>
    </xf>
    <xf numFmtId="0" fontId="51" fillId="11" borderId="11" xfId="0" applyFont="1" applyFill="1" applyBorder="1" applyAlignment="1">
      <alignment horizontal="center"/>
    </xf>
    <xf numFmtId="0" fontId="51" fillId="11" borderId="52" xfId="0" applyFont="1" applyFill="1" applyBorder="1" applyAlignment="1">
      <alignment horizontal="center"/>
    </xf>
    <xf numFmtId="0" fontId="51" fillId="11" borderId="22" xfId="0" applyFont="1" applyFill="1" applyBorder="1" applyAlignment="1">
      <alignment horizontal="center"/>
    </xf>
    <xf numFmtId="0" fontId="51" fillId="11" borderId="10" xfId="0" applyFont="1" applyFill="1" applyBorder="1" applyAlignment="1">
      <alignment horizontal="center"/>
    </xf>
    <xf numFmtId="0" fontId="52" fillId="18" borderId="56" xfId="0" applyFont="1" applyFill="1" applyBorder="1" applyAlignment="1">
      <alignment horizontal="center" wrapText="1" readingOrder="1"/>
    </xf>
    <xf numFmtId="0" fontId="52" fillId="18" borderId="57" xfId="0" applyFont="1" applyFill="1" applyBorder="1" applyAlignment="1">
      <alignment horizontal="center" wrapText="1" readingOrder="1"/>
    </xf>
    <xf numFmtId="0" fontId="47" fillId="18" borderId="41" xfId="0" applyFont="1" applyFill="1" applyBorder="1" applyAlignment="1">
      <alignment horizontal="center" vertical="center" wrapText="1" readingOrder="1"/>
    </xf>
    <xf numFmtId="0" fontId="47" fillId="18" borderId="57" xfId="0" applyFont="1" applyFill="1" applyBorder="1" applyAlignment="1">
      <alignment horizontal="center" vertical="center" wrapText="1" readingOrder="1"/>
    </xf>
    <xf numFmtId="0" fontId="47" fillId="18" borderId="56" xfId="0" applyFont="1" applyFill="1" applyBorder="1" applyAlignment="1">
      <alignment horizontal="center" vertical="center" wrapText="1" readingOrder="1"/>
    </xf>
    <xf numFmtId="49" fontId="60" fillId="16" borderId="59" xfId="0" applyNumberFormat="1" applyFont="1" applyFill="1" applyBorder="1" applyAlignment="1">
      <alignment horizontal="center" vertical="center" readingOrder="1"/>
    </xf>
    <xf numFmtId="49" fontId="60" fillId="16" borderId="33" xfId="0" applyNumberFormat="1" applyFont="1" applyFill="1" applyBorder="1" applyAlignment="1">
      <alignment horizontal="center" vertical="center" readingOrder="1"/>
    </xf>
    <xf numFmtId="49" fontId="60" fillId="16" borderId="20" xfId="0" applyNumberFormat="1" applyFont="1" applyFill="1" applyBorder="1" applyAlignment="1">
      <alignment horizontal="center" vertical="center" readingOrder="1"/>
    </xf>
    <xf numFmtId="49" fontId="60" fillId="16" borderId="65" xfId="0" applyNumberFormat="1" applyFont="1" applyFill="1" applyBorder="1" applyAlignment="1">
      <alignment horizontal="center" vertical="center" readingOrder="1"/>
    </xf>
    <xf numFmtId="0" fontId="47" fillId="18" borderId="33" xfId="0" applyFont="1" applyFill="1" applyBorder="1" applyAlignment="1">
      <alignment horizontal="center" vertical="center" wrapText="1" readingOrder="1"/>
    </xf>
    <xf numFmtId="0" fontId="42" fillId="11" borderId="11" xfId="0" applyFont="1" applyFill="1" applyBorder="1" applyAlignment="1">
      <alignment horizontal="center"/>
    </xf>
    <xf numFmtId="0" fontId="42" fillId="11" borderId="52" xfId="0" applyFont="1" applyFill="1" applyBorder="1" applyAlignment="1">
      <alignment horizontal="center"/>
    </xf>
    <xf numFmtId="0" fontId="42" fillId="11" borderId="22" xfId="0" applyFont="1" applyFill="1" applyBorder="1" applyAlignment="1">
      <alignment horizontal="center"/>
    </xf>
    <xf numFmtId="0" fontId="48" fillId="18" borderId="53" xfId="0" applyFont="1" applyFill="1" applyBorder="1" applyAlignment="1">
      <alignment horizontal="center" vertical="center" wrapText="1" readingOrder="1"/>
    </xf>
    <xf numFmtId="0" fontId="48" fillId="18" borderId="0" xfId="0" applyFont="1" applyFill="1" applyBorder="1" applyAlignment="1">
      <alignment horizontal="center" vertical="center" wrapText="1" readingOrder="1"/>
    </xf>
    <xf numFmtId="0" fontId="48" fillId="18" borderId="36" xfId="0" applyFont="1" applyFill="1" applyBorder="1" applyAlignment="1">
      <alignment horizontal="center" vertical="center" wrapText="1" readingOrder="1"/>
    </xf>
    <xf numFmtId="0" fontId="48" fillId="18" borderId="56" xfId="0" applyFont="1" applyFill="1" applyBorder="1" applyAlignment="1">
      <alignment horizontal="center" vertical="center" wrapText="1" readingOrder="1"/>
    </xf>
    <xf numFmtId="0" fontId="48" fillId="18" borderId="41" xfId="0" applyFont="1" applyFill="1" applyBorder="1" applyAlignment="1">
      <alignment horizontal="center" vertical="center" wrapText="1" readingOrder="1"/>
    </xf>
    <xf numFmtId="0" fontId="48" fillId="18" borderId="57" xfId="0" applyFont="1" applyFill="1" applyBorder="1" applyAlignment="1">
      <alignment horizontal="center" vertical="center" wrapText="1" readingOrder="1"/>
    </xf>
    <xf numFmtId="0" fontId="48" fillId="18" borderId="54" xfId="0" applyFont="1" applyFill="1" applyBorder="1" applyAlignment="1">
      <alignment horizontal="center" vertical="center" wrapText="1" readingOrder="1"/>
    </xf>
    <xf numFmtId="0" fontId="48" fillId="18" borderId="38" xfId="0" applyFont="1" applyFill="1" applyBorder="1" applyAlignment="1">
      <alignment horizontal="center" vertical="center" wrapText="1" readingOrder="1"/>
    </xf>
    <xf numFmtId="0" fontId="48" fillId="18" borderId="55" xfId="0" applyFont="1" applyFill="1" applyBorder="1" applyAlignment="1">
      <alignment horizontal="center" vertical="center" wrapText="1" readingOrder="1"/>
    </xf>
    <xf numFmtId="49" fontId="58" fillId="16" borderId="59" xfId="0" applyNumberFormat="1" applyFont="1" applyFill="1" applyBorder="1" applyAlignment="1">
      <alignment horizontal="center" vertical="center" wrapText="1" readingOrder="1"/>
    </xf>
    <xf numFmtId="49" fontId="58" fillId="16" borderId="58" xfId="0" applyNumberFormat="1" applyFont="1" applyFill="1" applyBorder="1" applyAlignment="1">
      <alignment horizontal="center" vertical="center" wrapText="1" readingOrder="1"/>
    </xf>
    <xf numFmtId="49" fontId="58" fillId="0" borderId="59" xfId="0" applyNumberFormat="1" applyFont="1" applyFill="1" applyBorder="1" applyAlignment="1">
      <alignment horizontal="center" vertical="center" wrapText="1" readingOrder="1"/>
    </xf>
    <xf numFmtId="49" fontId="58" fillId="0" borderId="58" xfId="0" applyNumberFormat="1" applyFont="1" applyFill="1" applyBorder="1" applyAlignment="1">
      <alignment horizontal="center" vertical="center" wrapText="1" readingOrder="1"/>
    </xf>
    <xf numFmtId="49" fontId="58" fillId="16" borderId="33" xfId="0" applyNumberFormat="1" applyFont="1" applyFill="1" applyBorder="1" applyAlignment="1">
      <alignment horizontal="center" vertical="center" wrapText="1" readingOrder="1"/>
    </xf>
    <xf numFmtId="49" fontId="58" fillId="0" borderId="33" xfId="0" applyNumberFormat="1" applyFont="1" applyFill="1" applyBorder="1" applyAlignment="1">
      <alignment horizontal="center" vertical="center" wrapText="1" readingOrder="1"/>
    </xf>
    <xf numFmtId="49" fontId="60" fillId="16" borderId="29" xfId="0" applyNumberFormat="1" applyFont="1" applyFill="1" applyBorder="1" applyAlignment="1">
      <alignment horizontal="center" vertical="center" readingOrder="1"/>
    </xf>
    <xf numFmtId="49" fontId="60" fillId="16" borderId="32" xfId="0" applyNumberFormat="1" applyFont="1" applyFill="1" applyBorder="1" applyAlignment="1">
      <alignment horizontal="center" vertical="center" readingOrder="1"/>
    </xf>
    <xf numFmtId="49" fontId="59" fillId="16" borderId="29" xfId="0" applyNumberFormat="1" applyFont="1" applyFill="1" applyBorder="1" applyAlignment="1">
      <alignment horizontal="center" vertical="center" readingOrder="1"/>
    </xf>
    <xf numFmtId="49" fontId="59" fillId="16" borderId="32" xfId="0" applyNumberFormat="1" applyFont="1" applyFill="1" applyBorder="1" applyAlignment="1">
      <alignment horizontal="center" vertical="center" readingOrder="1"/>
    </xf>
    <xf numFmtId="49" fontId="59" fillId="16" borderId="59" xfId="0" applyNumberFormat="1" applyFont="1" applyFill="1" applyBorder="1" applyAlignment="1">
      <alignment horizontal="center" vertical="center" readingOrder="1"/>
    </xf>
    <xf numFmtId="49" fontId="59" fillId="16" borderId="33" xfId="0" applyNumberFormat="1" applyFont="1" applyFill="1" applyBorder="1" applyAlignment="1">
      <alignment horizontal="center" vertical="center" readingOrder="1"/>
    </xf>
    <xf numFmtId="49" fontId="59" fillId="16" borderId="20" xfId="0" applyNumberFormat="1" applyFont="1" applyFill="1" applyBorder="1" applyAlignment="1">
      <alignment horizontal="center" vertical="center" readingOrder="1"/>
    </xf>
    <xf numFmtId="49" fontId="59" fillId="16" borderId="65" xfId="0" applyNumberFormat="1" applyFont="1" applyFill="1" applyBorder="1" applyAlignment="1">
      <alignment horizontal="center" vertical="center" readingOrder="1"/>
    </xf>
    <xf numFmtId="49" fontId="59" fillId="16" borderId="63" xfId="0" applyNumberFormat="1" applyFont="1" applyFill="1" applyBorder="1" applyAlignment="1">
      <alignment horizontal="center" vertical="center" readingOrder="1"/>
    </xf>
    <xf numFmtId="49" fontId="59" fillId="16" borderId="64" xfId="0" applyNumberFormat="1" applyFont="1" applyFill="1" applyBorder="1" applyAlignment="1">
      <alignment horizontal="center" vertical="center" readingOrder="1"/>
    </xf>
    <xf numFmtId="49" fontId="46" fillId="3" borderId="0" xfId="0" applyNumberFormat="1" applyFont="1" applyFill="1" applyBorder="1" applyAlignment="1">
      <alignment horizontal="center" vertical="center" wrapText="1" readingOrder="1"/>
    </xf>
    <xf numFmtId="49" fontId="46" fillId="3" borderId="41" xfId="0" applyNumberFormat="1" applyFont="1" applyFill="1" applyBorder="1" applyAlignment="1">
      <alignment horizontal="center" vertical="center" wrapText="1" readingOrder="1"/>
    </xf>
    <xf numFmtId="49" fontId="69" fillId="0" borderId="10" xfId="0" applyNumberFormat="1" applyFont="1" applyFill="1" applyBorder="1" applyAlignment="1">
      <alignment horizontal="center" vertical="center" wrapText="1" readingOrder="1"/>
    </xf>
    <xf numFmtId="49" fontId="58" fillId="0" borderId="10" xfId="0" applyNumberFormat="1" applyFont="1" applyFill="1" applyBorder="1" applyAlignment="1">
      <alignment horizontal="center" vertical="center" wrapText="1" readingOrder="1"/>
    </xf>
    <xf numFmtId="49" fontId="7" fillId="15" borderId="10" xfId="0" applyNumberFormat="1" applyFont="1" applyFill="1" applyBorder="1" applyAlignment="1">
      <alignment horizontal="center" vertical="center" wrapText="1" readingOrder="1"/>
    </xf>
    <xf numFmtId="49" fontId="7" fillId="15" borderId="59" xfId="0" applyNumberFormat="1" applyFont="1" applyFill="1" applyBorder="1" applyAlignment="1">
      <alignment horizontal="center" vertical="center" wrapText="1" readingOrder="1"/>
    </xf>
    <xf numFmtId="49" fontId="7" fillId="15" borderId="33" xfId="0" applyNumberFormat="1" applyFont="1" applyFill="1" applyBorder="1" applyAlignment="1">
      <alignment horizontal="center" vertical="center" wrapText="1" readingOrder="1"/>
    </xf>
    <xf numFmtId="2" fontId="58" fillId="0" borderId="59" xfId="0" applyNumberFormat="1" applyFont="1" applyFill="1" applyBorder="1" applyAlignment="1">
      <alignment horizontal="center" vertical="center" wrapText="1" readingOrder="1"/>
    </xf>
    <xf numFmtId="2" fontId="58" fillId="0" borderId="58" xfId="0" applyNumberFormat="1" applyFont="1" applyFill="1" applyBorder="1" applyAlignment="1">
      <alignment horizontal="center" vertical="center" wrapText="1" readingOrder="1"/>
    </xf>
    <xf numFmtId="2" fontId="58" fillId="0" borderId="33" xfId="0" applyNumberFormat="1" applyFont="1" applyFill="1" applyBorder="1" applyAlignment="1">
      <alignment horizontal="center" vertical="center" wrapText="1" readingOrder="1"/>
    </xf>
    <xf numFmtId="166" fontId="43" fillId="3" borderId="59" xfId="0" applyNumberFormat="1" applyFont="1" applyFill="1" applyBorder="1" applyAlignment="1">
      <alignment horizontal="center" vertical="center"/>
    </xf>
    <xf numFmtId="166" fontId="43" fillId="3" borderId="58" xfId="0" applyNumberFormat="1" applyFont="1" applyFill="1" applyBorder="1" applyAlignment="1">
      <alignment horizontal="center" vertical="center"/>
    </xf>
    <xf numFmtId="166" fontId="43" fillId="3" borderId="33" xfId="0" applyNumberFormat="1" applyFont="1" applyFill="1" applyBorder="1" applyAlignment="1">
      <alignment horizontal="center" vertical="center"/>
    </xf>
    <xf numFmtId="0" fontId="43" fillId="9" borderId="59" xfId="0" applyFont="1" applyFill="1" applyBorder="1" applyAlignment="1">
      <alignment horizontal="center" vertical="center" wrapText="1" readingOrder="1"/>
    </xf>
    <xf numFmtId="0" fontId="43" fillId="9" borderId="58" xfId="0" applyFont="1" applyFill="1" applyBorder="1" applyAlignment="1">
      <alignment horizontal="center" vertical="center" wrapText="1" readingOrder="1"/>
    </xf>
    <xf numFmtId="0" fontId="43" fillId="9" borderId="33" xfId="0" applyFont="1" applyFill="1" applyBorder="1" applyAlignment="1">
      <alignment horizontal="center" vertical="center" wrapText="1" readingOrder="1"/>
    </xf>
    <xf numFmtId="0" fontId="43" fillId="0" borderId="59" xfId="0" applyFont="1" applyBorder="1" applyAlignment="1">
      <alignment horizontal="center" vertical="center" wrapText="1"/>
    </xf>
    <xf numFmtId="0" fontId="43" fillId="0" borderId="58" xfId="0" applyFont="1" applyBorder="1" applyAlignment="1">
      <alignment horizontal="center" vertical="center" wrapText="1"/>
    </xf>
    <xf numFmtId="0" fontId="43" fillId="0" borderId="33" xfId="0" applyFont="1" applyBorder="1" applyAlignment="1">
      <alignment horizontal="center" vertical="center" wrapText="1"/>
    </xf>
    <xf numFmtId="173" fontId="43" fillId="0" borderId="59" xfId="0" applyNumberFormat="1" applyFont="1" applyBorder="1" applyAlignment="1">
      <alignment horizontal="center" vertical="center"/>
    </xf>
    <xf numFmtId="173" fontId="43" fillId="0" borderId="58" xfId="0" applyNumberFormat="1" applyFont="1" applyBorder="1" applyAlignment="1">
      <alignment horizontal="center" vertical="center"/>
    </xf>
    <xf numFmtId="173" fontId="43" fillId="0" borderId="33" xfId="0" applyNumberFormat="1" applyFont="1" applyBorder="1" applyAlignment="1">
      <alignment horizontal="center" vertical="center"/>
    </xf>
    <xf numFmtId="49" fontId="58" fillId="15" borderId="59" xfId="0" applyNumberFormat="1" applyFont="1" applyFill="1" applyBorder="1" applyAlignment="1">
      <alignment horizontal="center" vertical="center" wrapText="1" readingOrder="1"/>
    </xf>
    <xf numFmtId="49" fontId="58" fillId="15" borderId="58" xfId="0" applyNumberFormat="1" applyFont="1" applyFill="1" applyBorder="1" applyAlignment="1">
      <alignment horizontal="center" vertical="center" wrapText="1" readingOrder="1"/>
    </xf>
    <xf numFmtId="49" fontId="58" fillId="15" borderId="33" xfId="0" applyNumberFormat="1" applyFont="1" applyFill="1" applyBorder="1" applyAlignment="1">
      <alignment horizontal="center" vertical="center" wrapText="1" readingOrder="1"/>
    </xf>
    <xf numFmtId="168" fontId="43" fillId="3" borderId="59" xfId="0" applyNumberFormat="1" applyFont="1" applyFill="1" applyBorder="1" applyAlignment="1">
      <alignment horizontal="center" vertical="center"/>
    </xf>
    <xf numFmtId="168" fontId="43" fillId="3" borderId="58" xfId="0" applyNumberFormat="1" applyFont="1" applyFill="1" applyBorder="1" applyAlignment="1">
      <alignment horizontal="center" vertical="center"/>
    </xf>
    <xf numFmtId="0" fontId="43" fillId="0" borderId="10" xfId="0" applyFont="1" applyBorder="1" applyAlignment="1">
      <alignment horizontal="center" vertical="center" wrapText="1" readingOrder="1"/>
    </xf>
    <xf numFmtId="0" fontId="43" fillId="3" borderId="59" xfId="0" applyFont="1" applyFill="1" applyBorder="1" applyAlignment="1">
      <alignment horizontal="center" vertical="center" wrapText="1" readingOrder="1"/>
    </xf>
    <xf numFmtId="0" fontId="43" fillId="3" borderId="58" xfId="0" applyFont="1" applyFill="1" applyBorder="1" applyAlignment="1">
      <alignment horizontal="center" vertical="center" wrapText="1" readingOrder="1"/>
    </xf>
    <xf numFmtId="0" fontId="43" fillId="3" borderId="33" xfId="0" applyFont="1" applyFill="1" applyBorder="1" applyAlignment="1">
      <alignment horizontal="center" vertical="center" wrapText="1" readingOrder="1"/>
    </xf>
    <xf numFmtId="49" fontId="69" fillId="0" borderId="59" xfId="0" applyNumberFormat="1" applyFont="1" applyFill="1" applyBorder="1" applyAlignment="1">
      <alignment horizontal="center" vertical="center" wrapText="1" readingOrder="1"/>
    </xf>
    <xf numFmtId="49" fontId="69" fillId="0" borderId="58" xfId="0" applyNumberFormat="1" applyFont="1" applyFill="1" applyBorder="1" applyAlignment="1">
      <alignment horizontal="center" vertical="center" wrapText="1" readingOrder="1"/>
    </xf>
    <xf numFmtId="49" fontId="58" fillId="3" borderId="59" xfId="0" applyNumberFormat="1" applyFont="1" applyFill="1" applyBorder="1" applyAlignment="1">
      <alignment horizontal="center" vertical="center" wrapText="1" readingOrder="1"/>
    </xf>
    <xf numFmtId="49" fontId="58" fillId="3" borderId="58" xfId="0" applyNumberFormat="1" applyFont="1" applyFill="1" applyBorder="1" applyAlignment="1">
      <alignment horizontal="center" vertical="center" wrapText="1" readingOrder="1"/>
    </xf>
    <xf numFmtId="168" fontId="43" fillId="3" borderId="33" xfId="0" applyNumberFormat="1" applyFont="1" applyFill="1" applyBorder="1" applyAlignment="1">
      <alignment horizontal="center" vertical="center"/>
    </xf>
    <xf numFmtId="0" fontId="43" fillId="0" borderId="59" xfId="0" applyFont="1" applyBorder="1" applyAlignment="1">
      <alignment horizontal="center" vertical="center" wrapText="1" readingOrder="1"/>
    </xf>
    <xf numFmtId="0" fontId="43" fillId="0" borderId="58" xfId="0" applyFont="1" applyBorder="1" applyAlignment="1">
      <alignment horizontal="center" vertical="center" wrapText="1" readingOrder="1"/>
    </xf>
    <xf numFmtId="0" fontId="43" fillId="0" borderId="33" xfId="0" applyFont="1" applyBorder="1" applyAlignment="1">
      <alignment horizontal="center" vertical="center" wrapText="1" readingOrder="1"/>
    </xf>
    <xf numFmtId="49" fontId="7" fillId="3" borderId="10" xfId="0" applyNumberFormat="1" applyFont="1" applyFill="1" applyBorder="1" applyAlignment="1">
      <alignment horizontal="center" vertical="center" wrapText="1" readingOrder="1"/>
    </xf>
    <xf numFmtId="49" fontId="59" fillId="16" borderId="21" xfId="0" applyNumberFormat="1" applyFont="1" applyFill="1" applyBorder="1" applyAlignment="1">
      <alignment horizontal="center" vertical="center" readingOrder="1"/>
    </xf>
    <xf numFmtId="49" fontId="58" fillId="0" borderId="53" xfId="0" applyNumberFormat="1" applyFont="1" applyFill="1" applyBorder="1" applyAlignment="1">
      <alignment horizontal="center" vertical="center" wrapText="1" readingOrder="1"/>
    </xf>
    <xf numFmtId="49" fontId="58" fillId="0" borderId="54" xfId="0" applyNumberFormat="1" applyFont="1" applyFill="1" applyBorder="1" applyAlignment="1">
      <alignment horizontal="center" vertical="center" wrapText="1" readingOrder="1"/>
    </xf>
    <xf numFmtId="164" fontId="62" fillId="12" borderId="82" xfId="0" applyNumberFormat="1" applyFont="1" applyFill="1" applyBorder="1" applyAlignment="1">
      <alignment horizontal="center" vertical="center" wrapText="1" readingOrder="1"/>
    </xf>
    <xf numFmtId="164" fontId="62" fillId="12" borderId="86" xfId="0" applyNumberFormat="1" applyFont="1" applyFill="1" applyBorder="1" applyAlignment="1">
      <alignment horizontal="center" vertical="center" wrapText="1" readingOrder="1"/>
    </xf>
    <xf numFmtId="9" fontId="43" fillId="3" borderId="59" xfId="1" applyFont="1" applyFill="1" applyBorder="1" applyAlignment="1">
      <alignment horizontal="center" vertical="center"/>
    </xf>
    <xf numFmtId="9" fontId="43" fillId="3" borderId="58" xfId="1" applyFont="1" applyFill="1" applyBorder="1" applyAlignment="1">
      <alignment horizontal="center" vertical="center"/>
    </xf>
    <xf numFmtId="164" fontId="62" fillId="12" borderId="80" xfId="0" applyNumberFormat="1" applyFont="1" applyFill="1" applyBorder="1" applyAlignment="1">
      <alignment horizontal="center" vertical="center" wrapText="1" readingOrder="1"/>
    </xf>
    <xf numFmtId="164" fontId="62" fillId="12" borderId="84" xfId="0" applyNumberFormat="1" applyFont="1" applyFill="1" applyBorder="1" applyAlignment="1">
      <alignment horizontal="center" vertical="center" wrapText="1" readingOrder="1"/>
    </xf>
    <xf numFmtId="164" fontId="62" fillId="12" borderId="81" xfId="0" applyNumberFormat="1" applyFont="1" applyFill="1" applyBorder="1" applyAlignment="1">
      <alignment horizontal="center" vertical="center" wrapText="1" readingOrder="1"/>
    </xf>
    <xf numFmtId="164" fontId="62" fillId="12" borderId="85" xfId="0" applyNumberFormat="1" applyFont="1" applyFill="1" applyBorder="1" applyAlignment="1">
      <alignment horizontal="center" vertical="center" wrapText="1" readingOrder="1"/>
    </xf>
    <xf numFmtId="49" fontId="69" fillId="0" borderId="33" xfId="0" applyNumberFormat="1" applyFont="1" applyFill="1" applyBorder="1" applyAlignment="1">
      <alignment horizontal="center" vertical="center" wrapText="1" readingOrder="1"/>
    </xf>
    <xf numFmtId="49" fontId="7" fillId="0" borderId="59" xfId="0" applyNumberFormat="1" applyFont="1" applyFill="1" applyBorder="1" applyAlignment="1">
      <alignment horizontal="center" vertical="center" wrapText="1" readingOrder="1"/>
    </xf>
    <xf numFmtId="49" fontId="7" fillId="0" borderId="33" xfId="0" applyNumberFormat="1" applyFont="1" applyFill="1" applyBorder="1" applyAlignment="1">
      <alignment horizontal="center" vertical="center" wrapText="1" readingOrder="1"/>
    </xf>
    <xf numFmtId="49" fontId="43" fillId="0" borderId="59" xfId="0" applyNumberFormat="1" applyFont="1" applyFill="1" applyBorder="1" applyAlignment="1">
      <alignment horizontal="center" vertical="center" wrapText="1" readingOrder="1"/>
    </xf>
    <xf numFmtId="49" fontId="43" fillId="0" borderId="58" xfId="0" applyNumberFormat="1" applyFont="1" applyFill="1" applyBorder="1" applyAlignment="1">
      <alignment horizontal="center" vertical="center" wrapText="1" readingOrder="1"/>
    </xf>
    <xf numFmtId="49" fontId="43" fillId="15" borderId="59" xfId="0" applyNumberFormat="1" applyFont="1" applyFill="1" applyBorder="1" applyAlignment="1">
      <alignment horizontal="center" vertical="center" wrapText="1" readingOrder="1"/>
    </xf>
    <xf numFmtId="49" fontId="43" fillId="15" borderId="58" xfId="0" applyNumberFormat="1" applyFont="1" applyFill="1" applyBorder="1" applyAlignment="1">
      <alignment horizontal="center" vertical="center" wrapText="1" readingOrder="1"/>
    </xf>
    <xf numFmtId="0" fontId="43" fillId="0" borderId="59" xfId="0" applyNumberFormat="1" applyFont="1" applyFill="1" applyBorder="1" applyAlignment="1">
      <alignment horizontal="center" vertical="center"/>
    </xf>
    <xf numFmtId="0" fontId="43" fillId="0" borderId="58" xfId="0" applyNumberFormat="1" applyFont="1" applyFill="1" applyBorder="1" applyAlignment="1">
      <alignment horizontal="center" vertical="center"/>
    </xf>
    <xf numFmtId="49" fontId="43" fillId="0" borderId="58" xfId="0" applyNumberFormat="1" applyFont="1" applyFill="1" applyBorder="1" applyAlignment="1">
      <alignment horizontal="center" vertical="center"/>
    </xf>
    <xf numFmtId="2" fontId="58" fillId="0" borderId="10" xfId="0" applyNumberFormat="1" applyFont="1" applyFill="1" applyBorder="1" applyAlignment="1">
      <alignment horizontal="center" vertical="center" wrapText="1" readingOrder="1"/>
    </xf>
    <xf numFmtId="49" fontId="7" fillId="3" borderId="59" xfId="0" applyNumberFormat="1" applyFont="1" applyFill="1" applyBorder="1" applyAlignment="1">
      <alignment horizontal="center" vertical="center" wrapText="1" readingOrder="1"/>
    </xf>
    <xf numFmtId="49" fontId="7" fillId="3" borderId="58" xfId="0" applyNumberFormat="1" applyFont="1" applyFill="1" applyBorder="1" applyAlignment="1">
      <alignment horizontal="center" vertical="center" wrapText="1" readingOrder="1"/>
    </xf>
    <xf numFmtId="49" fontId="7" fillId="0" borderId="53" xfId="0" applyNumberFormat="1" applyFont="1" applyFill="1" applyBorder="1" applyAlignment="1">
      <alignment horizontal="center" vertical="center" wrapText="1" readingOrder="1"/>
    </xf>
    <xf numFmtId="49" fontId="7" fillId="0" borderId="54" xfId="0" applyNumberFormat="1" applyFont="1" applyFill="1" applyBorder="1" applyAlignment="1">
      <alignment horizontal="center" vertical="center" wrapText="1" readingOrder="1"/>
    </xf>
    <xf numFmtId="0" fontId="43" fillId="0" borderId="81" xfId="0" applyFont="1" applyBorder="1" applyAlignment="1">
      <alignment horizontal="center" vertical="center"/>
    </xf>
    <xf numFmtId="0" fontId="43" fillId="0" borderId="85" xfId="0" applyFont="1" applyBorder="1" applyAlignment="1">
      <alignment horizontal="center" vertical="center"/>
    </xf>
    <xf numFmtId="49" fontId="43" fillId="0" borderId="59" xfId="0" applyNumberFormat="1" applyFont="1" applyFill="1" applyBorder="1" applyAlignment="1">
      <alignment horizontal="center" vertical="center"/>
    </xf>
    <xf numFmtId="49" fontId="7" fillId="3" borderId="33" xfId="0" applyNumberFormat="1" applyFont="1" applyFill="1" applyBorder="1" applyAlignment="1">
      <alignment horizontal="center" vertical="center" wrapText="1" readingOrder="1"/>
    </xf>
    <xf numFmtId="2" fontId="58" fillId="0" borderId="53" xfId="0" applyNumberFormat="1" applyFont="1" applyFill="1" applyBorder="1" applyAlignment="1">
      <alignment horizontal="center" vertical="center" wrapText="1" readingOrder="1"/>
    </xf>
    <xf numFmtId="2" fontId="58" fillId="0" borderId="54" xfId="0" applyNumberFormat="1" applyFont="1" applyFill="1" applyBorder="1" applyAlignment="1">
      <alignment horizontal="center" vertical="center" wrapText="1" readingOrder="1"/>
    </xf>
    <xf numFmtId="2" fontId="58" fillId="0" borderId="56" xfId="0" applyNumberFormat="1" applyFont="1" applyFill="1" applyBorder="1" applyAlignment="1">
      <alignment horizontal="center" vertical="center" wrapText="1" readingOrder="1"/>
    </xf>
    <xf numFmtId="49" fontId="43" fillId="0" borderId="33" xfId="0" applyNumberFormat="1" applyFont="1" applyFill="1" applyBorder="1" applyAlignment="1">
      <alignment horizontal="center" vertical="center" wrapText="1" readingOrder="1"/>
    </xf>
    <xf numFmtId="49" fontId="58" fillId="3" borderId="10" xfId="0" applyNumberFormat="1" applyFont="1" applyFill="1" applyBorder="1" applyAlignment="1">
      <alignment horizontal="center" vertical="center" wrapText="1" readingOrder="1"/>
    </xf>
    <xf numFmtId="49" fontId="7" fillId="0" borderId="58" xfId="0" applyNumberFormat="1" applyFont="1" applyFill="1" applyBorder="1" applyAlignment="1">
      <alignment horizontal="center" vertical="center" wrapText="1" readingOrder="1"/>
    </xf>
    <xf numFmtId="164" fontId="56" fillId="12" borderId="20" xfId="4" applyNumberFormat="1" applyFont="1" applyFill="1" applyBorder="1" applyAlignment="1">
      <alignment horizontal="center" vertical="center" wrapText="1" readingOrder="1"/>
    </xf>
    <xf numFmtId="164" fontId="56" fillId="12" borderId="61" xfId="4" applyNumberFormat="1" applyFont="1" applyFill="1" applyBorder="1" applyAlignment="1">
      <alignment horizontal="center" vertical="center" wrapText="1" readingOrder="1"/>
    </xf>
    <xf numFmtId="164" fontId="56" fillId="12" borderId="29" xfId="4" applyNumberFormat="1" applyFont="1" applyFill="1" applyBorder="1" applyAlignment="1">
      <alignment horizontal="center" vertical="center" wrapText="1" readingOrder="1"/>
    </xf>
    <xf numFmtId="164" fontId="56" fillId="12" borderId="60" xfId="4" applyNumberFormat="1" applyFont="1" applyFill="1" applyBorder="1" applyAlignment="1">
      <alignment horizontal="center" vertical="center" wrapText="1" readingOrder="1"/>
    </xf>
    <xf numFmtId="164" fontId="56" fillId="3" borderId="29" xfId="4" applyNumberFormat="1" applyFont="1" applyFill="1" applyBorder="1" applyAlignment="1">
      <alignment horizontal="center" vertical="center" wrapText="1" readingOrder="1"/>
    </xf>
    <xf numFmtId="164" fontId="56" fillId="3" borderId="60" xfId="4" applyNumberFormat="1" applyFont="1" applyFill="1" applyBorder="1" applyAlignment="1">
      <alignment horizontal="center" vertical="center" wrapText="1" readingOrder="1"/>
    </xf>
    <xf numFmtId="164" fontId="56" fillId="3" borderId="59" xfId="4" applyNumberFormat="1" applyFont="1" applyFill="1" applyBorder="1" applyAlignment="1">
      <alignment horizontal="center" vertical="center" wrapText="1" readingOrder="1"/>
    </xf>
    <xf numFmtId="164" fontId="56" fillId="3" borderId="58" xfId="4" applyNumberFormat="1" applyFont="1" applyFill="1" applyBorder="1" applyAlignment="1">
      <alignment horizontal="center" vertical="center" wrapText="1" readingOrder="1"/>
    </xf>
    <xf numFmtId="164" fontId="56" fillId="12" borderId="63" xfId="4" applyNumberFormat="1" applyFont="1" applyFill="1" applyBorder="1" applyAlignment="1">
      <alignment horizontal="center" vertical="center" wrapText="1" readingOrder="1"/>
    </xf>
    <xf numFmtId="164" fontId="56" fillId="12" borderId="83" xfId="4" applyNumberFormat="1" applyFont="1" applyFill="1" applyBorder="1" applyAlignment="1">
      <alignment horizontal="center" vertical="center" wrapText="1" readingOrder="1"/>
    </xf>
    <xf numFmtId="2" fontId="65" fillId="3" borderId="81" xfId="0" applyNumberFormat="1" applyFont="1" applyFill="1" applyBorder="1" applyAlignment="1">
      <alignment horizontal="center" vertical="center" wrapText="1" readingOrder="1"/>
    </xf>
    <xf numFmtId="2" fontId="65" fillId="3" borderId="33" xfId="0" applyNumberFormat="1" applyFont="1" applyFill="1" applyBorder="1" applyAlignment="1">
      <alignment horizontal="center" vertical="center" wrapText="1" readingOrder="1"/>
    </xf>
    <xf numFmtId="2" fontId="65" fillId="3" borderId="82" xfId="0" applyNumberFormat="1" applyFont="1" applyFill="1" applyBorder="1" applyAlignment="1">
      <alignment horizontal="center" vertical="center" wrapText="1" readingOrder="1"/>
    </xf>
    <xf numFmtId="2" fontId="65" fillId="3" borderId="65" xfId="0" applyNumberFormat="1" applyFont="1" applyFill="1" applyBorder="1" applyAlignment="1">
      <alignment horizontal="center" vertical="center" wrapText="1" readingOrder="1"/>
    </xf>
    <xf numFmtId="164" fontId="56" fillId="14" borderId="79" xfId="4" applyNumberFormat="1" applyFont="1" applyFill="1" applyBorder="1" applyAlignment="1">
      <alignment horizontal="center" vertical="center" wrapText="1" readingOrder="1"/>
    </xf>
    <xf numFmtId="164" fontId="56" fillId="14" borderId="64" xfId="4" applyNumberFormat="1" applyFont="1" applyFill="1" applyBorder="1" applyAlignment="1">
      <alignment horizontal="center" vertical="center" wrapText="1" readingOrder="1"/>
    </xf>
    <xf numFmtId="164" fontId="56" fillId="14" borderId="80" xfId="4" applyNumberFormat="1" applyFont="1" applyFill="1" applyBorder="1" applyAlignment="1">
      <alignment horizontal="center" vertical="center" wrapText="1" readingOrder="1"/>
    </xf>
    <xf numFmtId="164" fontId="56" fillId="14" borderId="32" xfId="4" applyNumberFormat="1" applyFont="1" applyFill="1" applyBorder="1" applyAlignment="1">
      <alignment horizontal="center" vertical="center" wrapText="1" readingOrder="1"/>
    </xf>
    <xf numFmtId="49" fontId="43" fillId="3" borderId="59" xfId="0" applyNumberFormat="1" applyFont="1" applyFill="1" applyBorder="1" applyAlignment="1">
      <alignment horizontal="center" vertical="center" wrapText="1" readingOrder="1"/>
    </xf>
    <xf numFmtId="49" fontId="43" fillId="3" borderId="58" xfId="0" applyNumberFormat="1" applyFont="1" applyFill="1" applyBorder="1" applyAlignment="1">
      <alignment horizontal="center" vertical="center" wrapText="1" readingOrder="1"/>
    </xf>
    <xf numFmtId="164" fontId="56" fillId="3" borderId="20" xfId="4" applyNumberFormat="1" applyFont="1" applyFill="1" applyBorder="1" applyAlignment="1">
      <alignment horizontal="center" vertical="center" wrapText="1" readingOrder="1"/>
    </xf>
    <xf numFmtId="164" fontId="56" fillId="3" borderId="61" xfId="4" applyNumberFormat="1" applyFont="1" applyFill="1" applyBorder="1" applyAlignment="1">
      <alignment horizontal="center" vertical="center" wrapText="1" readingOrder="1"/>
    </xf>
    <xf numFmtId="49" fontId="56" fillId="3" borderId="81" xfId="0" applyNumberFormat="1" applyFont="1" applyFill="1" applyBorder="1" applyAlignment="1">
      <alignment horizontal="center" vertical="center" wrapText="1" readingOrder="1"/>
    </xf>
    <xf numFmtId="49" fontId="56" fillId="3" borderId="33" xfId="0" applyNumberFormat="1" applyFont="1" applyFill="1" applyBorder="1" applyAlignment="1">
      <alignment horizontal="center" vertical="center" wrapText="1" readingOrder="1"/>
    </xf>
    <xf numFmtId="49" fontId="56" fillId="3" borderId="82" xfId="0" applyNumberFormat="1" applyFont="1" applyFill="1" applyBorder="1" applyAlignment="1">
      <alignment horizontal="center" vertical="center" wrapText="1" readingOrder="1"/>
    </xf>
    <xf numFmtId="49" fontId="56" fillId="3" borderId="65" xfId="0" applyNumberFormat="1" applyFont="1" applyFill="1" applyBorder="1" applyAlignment="1">
      <alignment horizontal="center" vertical="center" wrapText="1" readingOrder="1"/>
    </xf>
    <xf numFmtId="49" fontId="56" fillId="14" borderId="82" xfId="0" applyNumberFormat="1" applyFont="1" applyFill="1" applyBorder="1" applyAlignment="1">
      <alignment horizontal="center" vertical="center" wrapText="1" readingOrder="1"/>
    </xf>
    <xf numFmtId="49" fontId="56" fillId="14" borderId="65" xfId="0" applyNumberFormat="1" applyFont="1" applyFill="1" applyBorder="1" applyAlignment="1">
      <alignment horizontal="center" vertical="center" wrapText="1" readingOrder="1"/>
    </xf>
    <xf numFmtId="49" fontId="56" fillId="14" borderId="79" xfId="0" applyNumberFormat="1" applyFont="1" applyFill="1" applyBorder="1" applyAlignment="1">
      <alignment horizontal="center" vertical="center" wrapText="1" readingOrder="1"/>
    </xf>
    <xf numFmtId="49" fontId="56" fillId="14" borderId="64" xfId="0" applyNumberFormat="1" applyFont="1" applyFill="1" applyBorder="1" applyAlignment="1">
      <alignment horizontal="center" vertical="center" wrapText="1" readingOrder="1"/>
    </xf>
    <xf numFmtId="49" fontId="56" fillId="3" borderId="80" xfId="0" applyNumberFormat="1" applyFont="1" applyFill="1" applyBorder="1" applyAlignment="1">
      <alignment horizontal="center" vertical="center" wrapText="1" readingOrder="1"/>
    </xf>
    <xf numFmtId="49" fontId="56" fillId="3" borderId="32" xfId="0" applyNumberFormat="1" applyFont="1" applyFill="1" applyBorder="1" applyAlignment="1">
      <alignment horizontal="center" vertical="center" wrapText="1" readingOrder="1"/>
    </xf>
    <xf numFmtId="2" fontId="65" fillId="3" borderId="80" xfId="0" applyNumberFormat="1" applyFont="1" applyFill="1" applyBorder="1" applyAlignment="1">
      <alignment horizontal="center" vertical="center" wrapText="1" readingOrder="1"/>
    </xf>
    <xf numFmtId="2" fontId="65" fillId="3" borderId="32" xfId="0" applyNumberFormat="1" applyFont="1" applyFill="1" applyBorder="1" applyAlignment="1">
      <alignment horizontal="center" vertical="center" wrapText="1" readingOrder="1"/>
    </xf>
    <xf numFmtId="49" fontId="43" fillId="3" borderId="59" xfId="0" applyNumberFormat="1" applyFont="1" applyFill="1" applyBorder="1" applyAlignment="1">
      <alignment horizontal="center" vertical="center"/>
    </xf>
    <xf numFmtId="49" fontId="43" fillId="3" borderId="58" xfId="0" applyNumberFormat="1" applyFont="1" applyFill="1" applyBorder="1" applyAlignment="1">
      <alignment horizontal="center" vertical="center"/>
    </xf>
    <xf numFmtId="0" fontId="43" fillId="3" borderId="59" xfId="0" applyFont="1" applyFill="1" applyBorder="1" applyAlignment="1">
      <alignment horizontal="center" vertical="center" wrapText="1"/>
    </xf>
    <xf numFmtId="0" fontId="43" fillId="3" borderId="58" xfId="0" applyFont="1" applyFill="1" applyBorder="1" applyAlignment="1">
      <alignment horizontal="center" vertical="center" wrapText="1"/>
    </xf>
    <xf numFmtId="0" fontId="95" fillId="0" borderId="9" xfId="0" applyFont="1" applyBorder="1" applyAlignment="1">
      <alignment horizontal="center" vertical="center" wrapText="1"/>
    </xf>
    <xf numFmtId="0" fontId="95" fillId="0" borderId="26" xfId="0" applyFont="1" applyBorder="1" applyAlignment="1">
      <alignment horizontal="center" vertical="center" wrapText="1"/>
    </xf>
    <xf numFmtId="0" fontId="0" fillId="0" borderId="56" xfId="0" applyBorder="1" applyAlignment="1">
      <alignment horizontal="center" wrapText="1"/>
    </xf>
    <xf numFmtId="0" fontId="0" fillId="0" borderId="41" xfId="0" applyBorder="1" applyAlignment="1">
      <alignment horizontal="center" wrapText="1"/>
    </xf>
    <xf numFmtId="0" fontId="0" fillId="0" borderId="54" xfId="0" applyFont="1" applyFill="1" applyBorder="1" applyAlignment="1">
      <alignment horizontal="left" wrapText="1"/>
    </xf>
    <xf numFmtId="0" fontId="0" fillId="0" borderId="0" xfId="0" applyFont="1" applyFill="1" applyBorder="1" applyAlignment="1">
      <alignment horizontal="left" wrapText="1"/>
    </xf>
    <xf numFmtId="0" fontId="40" fillId="21" borderId="23" xfId="0" applyFont="1" applyFill="1" applyBorder="1" applyAlignment="1">
      <alignment horizontal="center"/>
    </xf>
    <xf numFmtId="0" fontId="40" fillId="21" borderId="0" xfId="0" applyFont="1" applyFill="1" applyBorder="1" applyAlignment="1">
      <alignment horizontal="center"/>
    </xf>
    <xf numFmtId="0" fontId="39" fillId="22" borderId="0" xfId="0" applyFont="1" applyFill="1" applyAlignment="1">
      <alignment horizontal="center"/>
    </xf>
  </cellXfs>
  <cellStyles count="7">
    <cellStyle name="Bad" xfId="2" builtinId="27"/>
    <cellStyle name="Neutral" xfId="4" builtinId="28"/>
    <cellStyle name="Normal" xfId="0" builtinId="0"/>
    <cellStyle name="Normal 2" xfId="3" xr:uid="{00000000-0005-0000-0000-000003000000}"/>
    <cellStyle name="Normal 21" xfId="6" xr:uid="{00000000-0005-0000-0000-000004000000}"/>
    <cellStyle name="Normal_temo 2" xfId="5" xr:uid="{00000000-0005-0000-0000-000005000000}"/>
    <cellStyle name="Percent" xfId="1" builtinId="5"/>
  </cellStyles>
  <dxfs count="41">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bgColor theme="0"/>
        </patternFill>
      </fill>
      <border>
        <left/>
        <right/>
        <top/>
        <bottom/>
        <vertical/>
        <horizontal/>
      </border>
    </dxf>
    <dxf>
      <font>
        <color rgb="FFFF0000"/>
      </font>
    </dxf>
    <dxf>
      <font>
        <color rgb="FFFF0000"/>
      </font>
    </dxf>
    <dxf>
      <border>
        <right style="thin">
          <color theme="0"/>
        </right>
        <top style="thin">
          <color theme="0"/>
        </top>
        <bottom style="thin">
          <color theme="0"/>
        </bottom>
        <vertical/>
        <horizontal/>
      </border>
    </dxf>
    <dxf>
      <border>
        <right style="thin">
          <color theme="0"/>
        </right>
        <top style="thin">
          <color theme="0"/>
        </top>
        <bottom style="thin">
          <color theme="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bgColor theme="0"/>
        </patternFill>
      </fill>
      <border>
        <left/>
        <right/>
        <top/>
        <bottom/>
        <vertical/>
        <horizontal/>
      </border>
    </dxf>
    <dxf>
      <border>
        <bottom style="thin">
          <color auto="1"/>
        </bottom>
      </border>
    </dxf>
    <dxf>
      <border>
        <top style="thin">
          <color auto="1"/>
        </top>
        <vertical/>
        <horizontal/>
      </border>
    </dxf>
    <dxf>
      <font>
        <color theme="0"/>
      </font>
      <fill>
        <patternFill>
          <bgColor theme="0"/>
        </patternFill>
      </fill>
      <border>
        <left/>
        <right/>
        <top/>
        <bottom/>
        <vertical/>
        <horizontal/>
      </border>
    </dxf>
    <dxf>
      <border>
        <bottom style="thin">
          <color auto="1"/>
        </bottom>
      </border>
    </dxf>
    <dxf>
      <border>
        <top style="thin">
          <color auto="1"/>
        </top>
        <vertical/>
        <horizontal/>
      </border>
    </dxf>
    <dxf>
      <font>
        <color theme="0"/>
      </font>
      <fill>
        <patternFill>
          <bgColor theme="0"/>
        </patternFill>
      </fill>
      <border>
        <left/>
        <right/>
        <top/>
        <bottom/>
        <vertical/>
        <horizontal/>
      </border>
    </dxf>
    <dxf>
      <border>
        <bottom style="thin">
          <color auto="1"/>
        </bottom>
      </border>
    </dxf>
    <dxf>
      <border>
        <top style="thin">
          <color auto="1"/>
        </top>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top/>
        <bottom style="thin">
          <color auto="1"/>
        </bottom>
        <vertical/>
        <horizontal/>
      </border>
    </dxf>
    <dxf>
      <border>
        <top style="thin">
          <color auto="1"/>
        </top>
        <vertical/>
        <horizontal/>
      </border>
    </dxf>
    <dxf>
      <font>
        <color theme="0"/>
      </font>
      <fill>
        <patternFill>
          <bgColor theme="0"/>
        </patternFill>
      </fill>
      <border>
        <left/>
        <right/>
        <top/>
        <bottom/>
        <vertical/>
        <horizontal/>
      </border>
    </dxf>
    <dxf>
      <font>
        <color theme="0"/>
      </font>
      <fill>
        <patternFill>
          <bgColor theme="0"/>
        </patternFill>
      </fill>
      <border>
        <left/>
        <right/>
        <top style="thin">
          <color auto="1"/>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s>
  <tableStyles count="0" defaultTableStyle="TableStyleMedium2" defaultPivotStyle="PivotStyleLight16"/>
  <colors>
    <mruColors>
      <color rgb="FF006EB8"/>
      <color rgb="FF0066CC"/>
      <color rgb="FF003399"/>
      <color rgb="FF006666"/>
      <color rgb="FF009999"/>
      <color rgb="FF3366CC"/>
      <color rgb="FF0066FF"/>
      <color rgb="FF3366FF"/>
      <color rgb="FF3399FF"/>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14</xdr:col>
      <xdr:colOff>7327</xdr:colOff>
      <xdr:row>16</xdr:row>
      <xdr:rowOff>87923</xdr:rowOff>
    </xdr:from>
    <xdr:to>
      <xdr:col>24</xdr:col>
      <xdr:colOff>3018</xdr:colOff>
      <xdr:row>16</xdr:row>
      <xdr:rowOff>90387</xdr:rowOff>
    </xdr:to>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8770327" y="3135923"/>
          <a:ext cx="5300383" cy="2464"/>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9</xdr:row>
      <xdr:rowOff>76200</xdr:rowOff>
    </xdr:from>
    <xdr:to>
      <xdr:col>15</xdr:col>
      <xdr:colOff>9525</xdr:colOff>
      <xdr:row>9</xdr:row>
      <xdr:rowOff>76201</xdr:rowOff>
    </xdr:to>
    <xdr:cxnSp macro="">
      <xdr:nvCxnSpPr>
        <xdr:cNvPr id="225" name="Straight Arrow Connector 224">
          <a:extLst>
            <a:ext uri="{FF2B5EF4-FFF2-40B4-BE49-F238E27FC236}">
              <a16:creationId xmlns:a16="http://schemas.microsoft.com/office/drawing/2014/main" id="{00000000-0008-0000-0100-0000E1000000}"/>
            </a:ext>
          </a:extLst>
        </xdr:cNvPr>
        <xdr:cNvCxnSpPr/>
      </xdr:nvCxnSpPr>
      <xdr:spPr>
        <a:xfrm flipV="1">
          <a:off x="8224157" y="1997529"/>
          <a:ext cx="602797" cy="1"/>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179930</xdr:colOff>
      <xdr:row>22</xdr:row>
      <xdr:rowOff>62191</xdr:rowOff>
    </xdr:from>
    <xdr:to>
      <xdr:col>6</xdr:col>
      <xdr:colOff>190820</xdr:colOff>
      <xdr:row>22</xdr:row>
      <xdr:rowOff>62191</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1456280" y="5396191"/>
          <a:ext cx="1849215" cy="0"/>
        </a:xfrm>
        <a:prstGeom prst="line">
          <a:avLst/>
        </a:prstGeom>
        <a:ln>
          <a:prstDash val="solid"/>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242656</xdr:colOff>
      <xdr:row>41</xdr:row>
      <xdr:rowOff>137922</xdr:rowOff>
    </xdr:from>
    <xdr:to>
      <xdr:col>14</xdr:col>
      <xdr:colOff>243826</xdr:colOff>
      <xdr:row>45</xdr:row>
      <xdr:rowOff>31179</xdr:rowOff>
    </xdr:to>
    <xdr:cxnSp macro="">
      <xdr:nvCxnSpPr>
        <xdr:cNvPr id="6" name="Straight Arrow Connector 5">
          <a:extLst>
            <a:ext uri="{FF2B5EF4-FFF2-40B4-BE49-F238E27FC236}">
              <a16:creationId xmlns:a16="http://schemas.microsoft.com/office/drawing/2014/main" id="{00000000-0008-0000-0100-000006000000}"/>
            </a:ext>
          </a:extLst>
        </xdr:cNvPr>
        <xdr:cNvCxnSpPr>
          <a:stCxn id="114" idx="0"/>
          <a:endCxn id="109" idx="2"/>
        </xdr:cNvCxnSpPr>
      </xdr:nvCxnSpPr>
      <xdr:spPr>
        <a:xfrm flipH="1" flipV="1">
          <a:off x="8691331" y="7138797"/>
          <a:ext cx="1170" cy="893382"/>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218873</xdr:colOff>
      <xdr:row>4</xdr:row>
      <xdr:rowOff>109436</xdr:rowOff>
    </xdr:from>
    <xdr:to>
      <xdr:col>6</xdr:col>
      <xdr:colOff>219075</xdr:colOff>
      <xdr:row>61</xdr:row>
      <xdr:rowOff>95250</xdr:rowOff>
    </xdr:to>
    <xdr:cxnSp macro="">
      <xdr:nvCxnSpPr>
        <xdr:cNvPr id="7" name="Straight Arrow Connector 6">
          <a:extLst>
            <a:ext uri="{FF2B5EF4-FFF2-40B4-BE49-F238E27FC236}">
              <a16:creationId xmlns:a16="http://schemas.microsoft.com/office/drawing/2014/main" id="{00000000-0008-0000-0100-000007000000}"/>
            </a:ext>
          </a:extLst>
        </xdr:cNvPr>
        <xdr:cNvCxnSpPr/>
      </xdr:nvCxnSpPr>
      <xdr:spPr>
        <a:xfrm>
          <a:off x="3335777" y="1159213"/>
          <a:ext cx="202" cy="9835069"/>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3018</xdr:colOff>
      <xdr:row>56</xdr:row>
      <xdr:rowOff>84365</xdr:rowOff>
    </xdr:from>
    <xdr:to>
      <xdr:col>24</xdr:col>
      <xdr:colOff>3018</xdr:colOff>
      <xdr:row>56</xdr:row>
      <xdr:rowOff>87630</xdr:rowOff>
    </xdr:to>
    <xdr:cxnSp macro="">
      <xdr:nvCxnSpPr>
        <xdr:cNvPr id="8" name="Straight Arrow Connector 7">
          <a:extLst>
            <a:ext uri="{FF2B5EF4-FFF2-40B4-BE49-F238E27FC236}">
              <a16:creationId xmlns:a16="http://schemas.microsoft.com/office/drawing/2014/main" id="{00000000-0008-0000-0100-000008000000}"/>
            </a:ext>
          </a:extLst>
        </xdr:cNvPr>
        <xdr:cNvCxnSpPr/>
      </xdr:nvCxnSpPr>
      <xdr:spPr>
        <a:xfrm>
          <a:off x="8455356" y="10090011"/>
          <a:ext cx="5316416" cy="3265"/>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61</xdr:row>
      <xdr:rowOff>71802</xdr:rowOff>
    </xdr:from>
    <xdr:to>
      <xdr:col>15</xdr:col>
      <xdr:colOff>16000</xdr:colOff>
      <xdr:row>61</xdr:row>
      <xdr:rowOff>77177</xdr:rowOff>
    </xdr:to>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3402623" y="10927371"/>
          <a:ext cx="5675315" cy="5375"/>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202887</xdr:colOff>
      <xdr:row>18</xdr:row>
      <xdr:rowOff>89724</xdr:rowOff>
    </xdr:from>
    <xdr:to>
      <xdr:col>6</xdr:col>
      <xdr:colOff>234043</xdr:colOff>
      <xdr:row>18</xdr:row>
      <xdr:rowOff>92004</xdr:rowOff>
    </xdr:to>
    <xdr:cxnSp macro="">
      <xdr:nvCxnSpPr>
        <xdr:cNvPr id="11" name="Straight Connector 10">
          <a:extLst>
            <a:ext uri="{FF2B5EF4-FFF2-40B4-BE49-F238E27FC236}">
              <a16:creationId xmlns:a16="http://schemas.microsoft.com/office/drawing/2014/main" id="{00000000-0008-0000-0100-00000B000000}"/>
            </a:ext>
          </a:extLst>
        </xdr:cNvPr>
        <xdr:cNvCxnSpPr/>
      </xdr:nvCxnSpPr>
      <xdr:spPr>
        <a:xfrm flipV="1">
          <a:off x="1479237" y="4737924"/>
          <a:ext cx="1869481" cy="2280"/>
        </a:xfrm>
        <a:prstGeom prst="line">
          <a:avLst/>
        </a:prstGeom>
        <a:ln>
          <a:prstDash val="dash"/>
        </a:ln>
      </xdr:spPr>
      <xdr:style>
        <a:lnRef idx="3">
          <a:schemeClr val="dk1"/>
        </a:lnRef>
        <a:fillRef idx="0">
          <a:schemeClr val="dk1"/>
        </a:fillRef>
        <a:effectRef idx="2">
          <a:schemeClr val="dk1"/>
        </a:effectRef>
        <a:fontRef idx="minor">
          <a:schemeClr val="tx1"/>
        </a:fontRef>
      </xdr:style>
    </xdr:cxnSp>
    <xdr:clientData/>
  </xdr:twoCellAnchor>
  <xdr:oneCellAnchor>
    <xdr:from>
      <xdr:col>29</xdr:col>
      <xdr:colOff>31750</xdr:colOff>
      <xdr:row>41</xdr:row>
      <xdr:rowOff>0</xdr:rowOff>
    </xdr:from>
    <xdr:ext cx="184731" cy="264560"/>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18100675" y="8077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41</xdr:row>
      <xdr:rowOff>0</xdr:rowOff>
    </xdr:from>
    <xdr:ext cx="184731" cy="264560"/>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18100675" y="8077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73</xdr:row>
      <xdr:rowOff>0</xdr:rowOff>
    </xdr:from>
    <xdr:ext cx="184731" cy="264560"/>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18100675" y="1339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73</xdr:row>
      <xdr:rowOff>0</xdr:rowOff>
    </xdr:from>
    <xdr:ext cx="184731" cy="264560"/>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18100675" y="1339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43</xdr:row>
      <xdr:rowOff>47625</xdr:rowOff>
    </xdr:from>
    <xdr:ext cx="184731" cy="264560"/>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8100675" y="8467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67</xdr:row>
      <xdr:rowOff>47625</xdr:rowOff>
    </xdr:from>
    <xdr:ext cx="184731" cy="264560"/>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8100675" y="12411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43</xdr:row>
      <xdr:rowOff>47625</xdr:rowOff>
    </xdr:from>
    <xdr:ext cx="184731" cy="264560"/>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18100675" y="8467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44</xdr:row>
      <xdr:rowOff>0</xdr:rowOff>
    </xdr:from>
    <xdr:ext cx="184731" cy="264560"/>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8100675" y="859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73</xdr:row>
      <xdr:rowOff>0</xdr:rowOff>
    </xdr:from>
    <xdr:ext cx="184731" cy="264560"/>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18100675" y="1339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73</xdr:row>
      <xdr:rowOff>0</xdr:rowOff>
    </xdr:from>
    <xdr:ext cx="184731" cy="264560"/>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18100675" y="1339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64</xdr:row>
      <xdr:rowOff>0</xdr:rowOff>
    </xdr:from>
    <xdr:ext cx="184731" cy="264560"/>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18100675" y="11849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69</xdr:row>
      <xdr:rowOff>0</xdr:rowOff>
    </xdr:from>
    <xdr:ext cx="184731" cy="264560"/>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8100675" y="12706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41</xdr:row>
      <xdr:rowOff>0</xdr:rowOff>
    </xdr:from>
    <xdr:ext cx="184731" cy="264560"/>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8100675" y="8077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25</xdr:col>
      <xdr:colOff>1050635</xdr:colOff>
      <xdr:row>56</xdr:row>
      <xdr:rowOff>176752</xdr:rowOff>
    </xdr:from>
    <xdr:ext cx="184730" cy="937629"/>
    <xdr:sp macro="" textlink="">
      <xdr:nvSpPr>
        <xdr:cNvPr id="31" name="Rectangle 30">
          <a:extLst>
            <a:ext uri="{FF2B5EF4-FFF2-40B4-BE49-F238E27FC236}">
              <a16:creationId xmlns:a16="http://schemas.microsoft.com/office/drawing/2014/main" id="{00000000-0008-0000-0100-00001F000000}"/>
            </a:ext>
          </a:extLst>
        </xdr:cNvPr>
        <xdr:cNvSpPr/>
      </xdr:nvSpPr>
      <xdr:spPr>
        <a:xfrm>
          <a:off x="16109660" y="10301827"/>
          <a:ext cx="184730" cy="937629"/>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endParaRPr lang="en-US" sz="5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oneCellAnchor>
  <xdr:twoCellAnchor>
    <xdr:from>
      <xdr:col>6</xdr:col>
      <xdr:colOff>212271</xdr:colOff>
      <xdr:row>4</xdr:row>
      <xdr:rowOff>114300</xdr:rowOff>
    </xdr:from>
    <xdr:to>
      <xdr:col>7</xdr:col>
      <xdr:colOff>0</xdr:colOff>
      <xdr:row>4</xdr:row>
      <xdr:rowOff>114300</xdr:rowOff>
    </xdr:to>
    <xdr:cxnSp macro="">
      <xdr:nvCxnSpPr>
        <xdr:cNvPr id="32" name="Straight Arrow Connector 31">
          <a:extLst>
            <a:ext uri="{FF2B5EF4-FFF2-40B4-BE49-F238E27FC236}">
              <a16:creationId xmlns:a16="http://schemas.microsoft.com/office/drawing/2014/main" id="{00000000-0008-0000-0100-000020000000}"/>
            </a:ext>
          </a:extLst>
        </xdr:cNvPr>
        <xdr:cNvCxnSpPr/>
      </xdr:nvCxnSpPr>
      <xdr:spPr>
        <a:xfrm>
          <a:off x="3326946" y="1162050"/>
          <a:ext cx="37827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5096</xdr:colOff>
      <xdr:row>7</xdr:row>
      <xdr:rowOff>91440</xdr:rowOff>
    </xdr:from>
    <xdr:to>
      <xdr:col>24</xdr:col>
      <xdr:colOff>3018</xdr:colOff>
      <xdr:row>7</xdr:row>
      <xdr:rowOff>91440</xdr:rowOff>
    </xdr:to>
    <xdr:cxnSp macro="">
      <xdr:nvCxnSpPr>
        <xdr:cNvPr id="33" name="Straight Arrow Connector 32">
          <a:extLst>
            <a:ext uri="{FF2B5EF4-FFF2-40B4-BE49-F238E27FC236}">
              <a16:creationId xmlns:a16="http://schemas.microsoft.com/office/drawing/2014/main" id="{00000000-0008-0000-0100-000021000000}"/>
            </a:ext>
          </a:extLst>
        </xdr:cNvPr>
        <xdr:cNvCxnSpPr/>
      </xdr:nvCxnSpPr>
      <xdr:spPr>
        <a:xfrm>
          <a:off x="8201242" y="1652611"/>
          <a:ext cx="516930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220285</xdr:colOff>
      <xdr:row>7</xdr:row>
      <xdr:rowOff>73327</xdr:rowOff>
    </xdr:from>
    <xdr:to>
      <xdr:col>6</xdr:col>
      <xdr:colOff>578425</xdr:colOff>
      <xdr:row>7</xdr:row>
      <xdr:rowOff>73327</xdr:rowOff>
    </xdr:to>
    <xdr:cxnSp macro="">
      <xdr:nvCxnSpPr>
        <xdr:cNvPr id="34" name="Straight Arrow Connector 33">
          <a:extLst>
            <a:ext uri="{FF2B5EF4-FFF2-40B4-BE49-F238E27FC236}">
              <a16:creationId xmlns:a16="http://schemas.microsoft.com/office/drawing/2014/main" id="{00000000-0008-0000-0100-000022000000}"/>
            </a:ext>
          </a:extLst>
        </xdr:cNvPr>
        <xdr:cNvCxnSpPr/>
      </xdr:nvCxnSpPr>
      <xdr:spPr>
        <a:xfrm>
          <a:off x="3334960" y="2492677"/>
          <a:ext cx="35814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169838</xdr:colOff>
      <xdr:row>7</xdr:row>
      <xdr:rowOff>20249</xdr:rowOff>
    </xdr:from>
    <xdr:to>
      <xdr:col>6</xdr:col>
      <xdr:colOff>261278</xdr:colOff>
      <xdr:row>7</xdr:row>
      <xdr:rowOff>111689</xdr:rowOff>
    </xdr:to>
    <xdr:sp macro="" textlink="">
      <xdr:nvSpPr>
        <xdr:cNvPr id="35" name="Rectangle 34">
          <a:extLst>
            <a:ext uri="{FF2B5EF4-FFF2-40B4-BE49-F238E27FC236}">
              <a16:creationId xmlns:a16="http://schemas.microsoft.com/office/drawing/2014/main" id="{00000000-0008-0000-0100-000023000000}"/>
            </a:ext>
          </a:extLst>
        </xdr:cNvPr>
        <xdr:cNvSpPr>
          <a:spLocks noChangeAspect="1"/>
        </xdr:cNvSpPr>
      </xdr:nvSpPr>
      <xdr:spPr>
        <a:xfrm>
          <a:off x="3282887" y="1581420"/>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6</xdr:col>
      <xdr:colOff>209183</xdr:colOff>
      <xdr:row>16</xdr:row>
      <xdr:rowOff>57150</xdr:rowOff>
    </xdr:from>
    <xdr:to>
      <xdr:col>8</xdr:col>
      <xdr:colOff>9525</xdr:colOff>
      <xdr:row>16</xdr:row>
      <xdr:rowOff>61961</xdr:rowOff>
    </xdr:to>
    <xdr:cxnSp macro="">
      <xdr:nvCxnSpPr>
        <xdr:cNvPr id="36" name="Straight Arrow Connector 35">
          <a:extLst>
            <a:ext uri="{FF2B5EF4-FFF2-40B4-BE49-F238E27FC236}">
              <a16:creationId xmlns:a16="http://schemas.microsoft.com/office/drawing/2014/main" id="{00000000-0008-0000-0100-000024000000}"/>
            </a:ext>
          </a:extLst>
        </xdr:cNvPr>
        <xdr:cNvCxnSpPr/>
      </xdr:nvCxnSpPr>
      <xdr:spPr>
        <a:xfrm flipV="1">
          <a:off x="3323858" y="2990850"/>
          <a:ext cx="390892" cy="4811"/>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169838</xdr:colOff>
      <xdr:row>16</xdr:row>
      <xdr:rowOff>9410</xdr:rowOff>
    </xdr:from>
    <xdr:to>
      <xdr:col>6</xdr:col>
      <xdr:colOff>261278</xdr:colOff>
      <xdr:row>16</xdr:row>
      <xdr:rowOff>100850</xdr:rowOff>
    </xdr:to>
    <xdr:sp macro="" textlink="">
      <xdr:nvSpPr>
        <xdr:cNvPr id="37" name="Rectangle 36">
          <a:extLst>
            <a:ext uri="{FF2B5EF4-FFF2-40B4-BE49-F238E27FC236}">
              <a16:creationId xmlns:a16="http://schemas.microsoft.com/office/drawing/2014/main" id="{00000000-0008-0000-0100-000025000000}"/>
            </a:ext>
          </a:extLst>
        </xdr:cNvPr>
        <xdr:cNvSpPr>
          <a:spLocks noChangeAspect="1"/>
        </xdr:cNvSpPr>
      </xdr:nvSpPr>
      <xdr:spPr>
        <a:xfrm>
          <a:off x="3283322" y="2956207"/>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5096</xdr:colOff>
      <xdr:row>4</xdr:row>
      <xdr:rowOff>83820</xdr:rowOff>
    </xdr:from>
    <xdr:to>
      <xdr:col>24</xdr:col>
      <xdr:colOff>3018</xdr:colOff>
      <xdr:row>4</xdr:row>
      <xdr:rowOff>83820</xdr:rowOff>
    </xdr:to>
    <xdr:cxnSp macro="">
      <xdr:nvCxnSpPr>
        <xdr:cNvPr id="38" name="Straight Arrow Connector 37">
          <a:extLst>
            <a:ext uri="{FF2B5EF4-FFF2-40B4-BE49-F238E27FC236}">
              <a16:creationId xmlns:a16="http://schemas.microsoft.com/office/drawing/2014/main" id="{00000000-0008-0000-0100-000026000000}"/>
            </a:ext>
          </a:extLst>
        </xdr:cNvPr>
        <xdr:cNvCxnSpPr/>
      </xdr:nvCxnSpPr>
      <xdr:spPr>
        <a:xfrm>
          <a:off x="8461119" y="1085306"/>
          <a:ext cx="5449488"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225014</xdr:colOff>
      <xdr:row>41</xdr:row>
      <xdr:rowOff>90208</xdr:rowOff>
    </xdr:from>
    <xdr:to>
      <xdr:col>6</xdr:col>
      <xdr:colOff>583154</xdr:colOff>
      <xdr:row>41</xdr:row>
      <xdr:rowOff>90208</xdr:rowOff>
    </xdr:to>
    <xdr:cxnSp macro="">
      <xdr:nvCxnSpPr>
        <xdr:cNvPr id="43" name="Straight Arrow Connector 42">
          <a:extLst>
            <a:ext uri="{FF2B5EF4-FFF2-40B4-BE49-F238E27FC236}">
              <a16:creationId xmlns:a16="http://schemas.microsoft.com/office/drawing/2014/main" id="{00000000-0008-0000-0100-00002B000000}"/>
            </a:ext>
          </a:extLst>
        </xdr:cNvPr>
        <xdr:cNvCxnSpPr/>
      </xdr:nvCxnSpPr>
      <xdr:spPr>
        <a:xfrm>
          <a:off x="3339689" y="7310158"/>
          <a:ext cx="35814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169838</xdr:colOff>
      <xdr:row>41</xdr:row>
      <xdr:rowOff>55037</xdr:rowOff>
    </xdr:from>
    <xdr:to>
      <xdr:col>6</xdr:col>
      <xdr:colOff>261278</xdr:colOff>
      <xdr:row>41</xdr:row>
      <xdr:rowOff>146477</xdr:rowOff>
    </xdr:to>
    <xdr:sp macro="" textlink="">
      <xdr:nvSpPr>
        <xdr:cNvPr id="44" name="Rectangle 43">
          <a:extLst>
            <a:ext uri="{FF2B5EF4-FFF2-40B4-BE49-F238E27FC236}">
              <a16:creationId xmlns:a16="http://schemas.microsoft.com/office/drawing/2014/main" id="{00000000-0008-0000-0100-00002C000000}"/>
            </a:ext>
          </a:extLst>
        </xdr:cNvPr>
        <xdr:cNvSpPr>
          <a:spLocks noChangeAspect="1"/>
        </xdr:cNvSpPr>
      </xdr:nvSpPr>
      <xdr:spPr>
        <a:xfrm>
          <a:off x="3288022" y="7549708"/>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6</xdr:col>
      <xdr:colOff>225014</xdr:colOff>
      <xdr:row>56</xdr:row>
      <xdr:rowOff>90207</xdr:rowOff>
    </xdr:from>
    <xdr:to>
      <xdr:col>6</xdr:col>
      <xdr:colOff>583154</xdr:colOff>
      <xdr:row>56</xdr:row>
      <xdr:rowOff>90207</xdr:rowOff>
    </xdr:to>
    <xdr:cxnSp macro="">
      <xdr:nvCxnSpPr>
        <xdr:cNvPr id="45" name="Straight Arrow Connector 44">
          <a:extLst>
            <a:ext uri="{FF2B5EF4-FFF2-40B4-BE49-F238E27FC236}">
              <a16:creationId xmlns:a16="http://schemas.microsoft.com/office/drawing/2014/main" id="{00000000-0008-0000-0100-00002D000000}"/>
            </a:ext>
          </a:extLst>
        </xdr:cNvPr>
        <xdr:cNvCxnSpPr/>
      </xdr:nvCxnSpPr>
      <xdr:spPr>
        <a:xfrm>
          <a:off x="3339689" y="9881907"/>
          <a:ext cx="35814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169838</xdr:colOff>
      <xdr:row>56</xdr:row>
      <xdr:rowOff>35330</xdr:rowOff>
    </xdr:from>
    <xdr:to>
      <xdr:col>6</xdr:col>
      <xdr:colOff>261278</xdr:colOff>
      <xdr:row>56</xdr:row>
      <xdr:rowOff>126770</xdr:rowOff>
    </xdr:to>
    <xdr:sp macro="" textlink="">
      <xdr:nvSpPr>
        <xdr:cNvPr id="46" name="Rectangle 45">
          <a:extLst>
            <a:ext uri="{FF2B5EF4-FFF2-40B4-BE49-F238E27FC236}">
              <a16:creationId xmlns:a16="http://schemas.microsoft.com/office/drawing/2014/main" id="{00000000-0008-0000-0100-00002E000000}"/>
            </a:ext>
          </a:extLst>
        </xdr:cNvPr>
        <xdr:cNvSpPr>
          <a:spLocks noChangeAspect="1"/>
        </xdr:cNvSpPr>
      </xdr:nvSpPr>
      <xdr:spPr>
        <a:xfrm>
          <a:off x="3288022" y="10086712"/>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13</xdr:col>
      <xdr:colOff>813288</xdr:colOff>
      <xdr:row>41</xdr:row>
      <xdr:rowOff>81593</xdr:rowOff>
    </xdr:from>
    <xdr:to>
      <xdr:col>24</xdr:col>
      <xdr:colOff>3018</xdr:colOff>
      <xdr:row>41</xdr:row>
      <xdr:rowOff>81593</xdr:rowOff>
    </xdr:to>
    <xdr:cxnSp macro="">
      <xdr:nvCxnSpPr>
        <xdr:cNvPr id="48" name="Straight Arrow Connector 47">
          <a:extLst>
            <a:ext uri="{FF2B5EF4-FFF2-40B4-BE49-F238E27FC236}">
              <a16:creationId xmlns:a16="http://schemas.microsoft.com/office/drawing/2014/main" id="{00000000-0008-0000-0100-000030000000}"/>
            </a:ext>
          </a:extLst>
        </xdr:cNvPr>
        <xdr:cNvCxnSpPr/>
      </xdr:nvCxnSpPr>
      <xdr:spPr>
        <a:xfrm>
          <a:off x="8748346" y="7320593"/>
          <a:ext cx="5322364"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274540</xdr:colOff>
      <xdr:row>23</xdr:row>
      <xdr:rowOff>138084</xdr:rowOff>
    </xdr:from>
    <xdr:to>
      <xdr:col>23</xdr:col>
      <xdr:colOff>274540</xdr:colOff>
      <xdr:row>24</xdr:row>
      <xdr:rowOff>134302</xdr:rowOff>
    </xdr:to>
    <xdr:cxnSp macro="">
      <xdr:nvCxnSpPr>
        <xdr:cNvPr id="50" name="Straight Arrow Connector 49">
          <a:extLst>
            <a:ext uri="{FF2B5EF4-FFF2-40B4-BE49-F238E27FC236}">
              <a16:creationId xmlns:a16="http://schemas.microsoft.com/office/drawing/2014/main" id="{00000000-0008-0000-0100-000032000000}"/>
            </a:ext>
          </a:extLst>
        </xdr:cNvPr>
        <xdr:cNvCxnSpPr>
          <a:stCxn id="51" idx="2"/>
          <a:endCxn id="251" idx="2"/>
        </xdr:cNvCxnSpPr>
      </xdr:nvCxnSpPr>
      <xdr:spPr>
        <a:xfrm>
          <a:off x="13562648" y="4194269"/>
          <a:ext cx="0" cy="166202"/>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5096</xdr:colOff>
      <xdr:row>23</xdr:row>
      <xdr:rowOff>84080</xdr:rowOff>
    </xdr:from>
    <xdr:to>
      <xdr:col>24</xdr:col>
      <xdr:colOff>3018</xdr:colOff>
      <xdr:row>23</xdr:row>
      <xdr:rowOff>84080</xdr:rowOff>
    </xdr:to>
    <xdr:cxnSp macro="">
      <xdr:nvCxnSpPr>
        <xdr:cNvPr id="371" name="Straight Arrow Connector 370">
          <a:extLst>
            <a:ext uri="{FF2B5EF4-FFF2-40B4-BE49-F238E27FC236}">
              <a16:creationId xmlns:a16="http://schemas.microsoft.com/office/drawing/2014/main" id="{00000000-0008-0000-0100-000073010000}"/>
            </a:ext>
          </a:extLst>
        </xdr:cNvPr>
        <xdr:cNvCxnSpPr/>
      </xdr:nvCxnSpPr>
      <xdr:spPr>
        <a:xfrm>
          <a:off x="8455413" y="4114797"/>
          <a:ext cx="544753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228820</xdr:colOff>
      <xdr:row>23</xdr:row>
      <xdr:rowOff>46644</xdr:rowOff>
    </xdr:from>
    <xdr:to>
      <xdr:col>23</xdr:col>
      <xdr:colOff>320260</xdr:colOff>
      <xdr:row>23</xdr:row>
      <xdr:rowOff>138084</xdr:rowOff>
    </xdr:to>
    <xdr:sp macro="" textlink="">
      <xdr:nvSpPr>
        <xdr:cNvPr id="51" name="Rectangle 50">
          <a:extLst>
            <a:ext uri="{FF2B5EF4-FFF2-40B4-BE49-F238E27FC236}">
              <a16:creationId xmlns:a16="http://schemas.microsoft.com/office/drawing/2014/main" id="{00000000-0008-0000-0100-000033000000}"/>
            </a:ext>
          </a:extLst>
        </xdr:cNvPr>
        <xdr:cNvSpPr>
          <a:spLocks noChangeAspect="1"/>
        </xdr:cNvSpPr>
      </xdr:nvSpPr>
      <xdr:spPr>
        <a:xfrm>
          <a:off x="13519151" y="4077361"/>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9919</xdr:colOff>
      <xdr:row>28</xdr:row>
      <xdr:rowOff>81474</xdr:rowOff>
    </xdr:from>
    <xdr:to>
      <xdr:col>24</xdr:col>
      <xdr:colOff>3018</xdr:colOff>
      <xdr:row>28</xdr:row>
      <xdr:rowOff>81474</xdr:rowOff>
    </xdr:to>
    <xdr:cxnSp macro="">
      <xdr:nvCxnSpPr>
        <xdr:cNvPr id="52" name="Straight Arrow Connector 51">
          <a:extLst>
            <a:ext uri="{FF2B5EF4-FFF2-40B4-BE49-F238E27FC236}">
              <a16:creationId xmlns:a16="http://schemas.microsoft.com/office/drawing/2014/main" id="{00000000-0008-0000-0100-000034000000}"/>
            </a:ext>
          </a:extLst>
        </xdr:cNvPr>
        <xdr:cNvCxnSpPr/>
      </xdr:nvCxnSpPr>
      <xdr:spPr>
        <a:xfrm>
          <a:off x="13307908" y="4988754"/>
          <a:ext cx="60269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8906</xdr:colOff>
      <xdr:row>61</xdr:row>
      <xdr:rowOff>99060</xdr:rowOff>
    </xdr:from>
    <xdr:to>
      <xdr:col>24</xdr:col>
      <xdr:colOff>3018</xdr:colOff>
      <xdr:row>61</xdr:row>
      <xdr:rowOff>99060</xdr:rowOff>
    </xdr:to>
    <xdr:cxnSp macro="">
      <xdr:nvCxnSpPr>
        <xdr:cNvPr id="63" name="Straight Arrow Connector 62">
          <a:extLst>
            <a:ext uri="{FF2B5EF4-FFF2-40B4-BE49-F238E27FC236}">
              <a16:creationId xmlns:a16="http://schemas.microsoft.com/office/drawing/2014/main" id="{00000000-0008-0000-0100-00003F000000}"/>
            </a:ext>
          </a:extLst>
        </xdr:cNvPr>
        <xdr:cNvCxnSpPr/>
      </xdr:nvCxnSpPr>
      <xdr:spPr>
        <a:xfrm>
          <a:off x="12781065" y="11156719"/>
          <a:ext cx="58293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8906</xdr:colOff>
      <xdr:row>44</xdr:row>
      <xdr:rowOff>88181</xdr:rowOff>
    </xdr:from>
    <xdr:to>
      <xdr:col>24</xdr:col>
      <xdr:colOff>3018</xdr:colOff>
      <xdr:row>44</xdr:row>
      <xdr:rowOff>88181</xdr:rowOff>
    </xdr:to>
    <xdr:cxnSp macro="">
      <xdr:nvCxnSpPr>
        <xdr:cNvPr id="67" name="Straight Arrow Connector 66">
          <a:extLst>
            <a:ext uri="{FF2B5EF4-FFF2-40B4-BE49-F238E27FC236}">
              <a16:creationId xmlns:a16="http://schemas.microsoft.com/office/drawing/2014/main" id="{00000000-0008-0000-0100-000043000000}"/>
            </a:ext>
          </a:extLst>
        </xdr:cNvPr>
        <xdr:cNvCxnSpPr/>
      </xdr:nvCxnSpPr>
      <xdr:spPr>
        <a:xfrm>
          <a:off x="13168060" y="7714043"/>
          <a:ext cx="603712"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9919</xdr:colOff>
      <xdr:row>29</xdr:row>
      <xdr:rowOff>82062</xdr:rowOff>
    </xdr:from>
    <xdr:to>
      <xdr:col>24</xdr:col>
      <xdr:colOff>3018</xdr:colOff>
      <xdr:row>29</xdr:row>
      <xdr:rowOff>82062</xdr:rowOff>
    </xdr:to>
    <xdr:cxnSp macro="">
      <xdr:nvCxnSpPr>
        <xdr:cNvPr id="261" name="Straight Arrow Connector 260">
          <a:extLst>
            <a:ext uri="{FF2B5EF4-FFF2-40B4-BE49-F238E27FC236}">
              <a16:creationId xmlns:a16="http://schemas.microsoft.com/office/drawing/2014/main" id="{00000000-0008-0000-0100-000005010000}"/>
            </a:ext>
          </a:extLst>
        </xdr:cNvPr>
        <xdr:cNvCxnSpPr/>
      </xdr:nvCxnSpPr>
      <xdr:spPr>
        <a:xfrm>
          <a:off x="13308343" y="5105166"/>
          <a:ext cx="60269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25</xdr:col>
      <xdr:colOff>1050635</xdr:colOff>
      <xdr:row>56</xdr:row>
      <xdr:rowOff>176752</xdr:rowOff>
    </xdr:from>
    <xdr:ext cx="184730" cy="937629"/>
    <xdr:sp macro="" textlink="">
      <xdr:nvSpPr>
        <xdr:cNvPr id="83" name="Rectangle 82">
          <a:extLst>
            <a:ext uri="{FF2B5EF4-FFF2-40B4-BE49-F238E27FC236}">
              <a16:creationId xmlns:a16="http://schemas.microsoft.com/office/drawing/2014/main" id="{00000000-0008-0000-0100-000053000000}"/>
            </a:ext>
          </a:extLst>
        </xdr:cNvPr>
        <xdr:cNvSpPr/>
      </xdr:nvSpPr>
      <xdr:spPr>
        <a:xfrm>
          <a:off x="16109660" y="10301827"/>
          <a:ext cx="184730" cy="937629"/>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endParaRPr lang="en-US" sz="5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oneCellAnchor>
  <xdr:twoCellAnchor>
    <xdr:from>
      <xdr:col>23</xdr:col>
      <xdr:colOff>274320</xdr:colOff>
      <xdr:row>29</xdr:row>
      <xdr:rowOff>92926</xdr:rowOff>
    </xdr:from>
    <xdr:to>
      <xdr:col>24</xdr:col>
      <xdr:colOff>3018</xdr:colOff>
      <xdr:row>30</xdr:row>
      <xdr:rowOff>86590</xdr:rowOff>
    </xdr:to>
    <xdr:sp macro="" textlink="">
      <xdr:nvSpPr>
        <xdr:cNvPr id="365" name="Freeform 364">
          <a:extLst>
            <a:ext uri="{FF2B5EF4-FFF2-40B4-BE49-F238E27FC236}">
              <a16:creationId xmlns:a16="http://schemas.microsoft.com/office/drawing/2014/main" id="{00000000-0008-0000-0100-00006D010000}"/>
            </a:ext>
          </a:extLst>
        </xdr:cNvPr>
        <xdr:cNvSpPr/>
      </xdr:nvSpPr>
      <xdr:spPr>
        <a:xfrm>
          <a:off x="13552170" y="5093551"/>
          <a:ext cx="338298" cy="160352"/>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228820</xdr:colOff>
      <xdr:row>29</xdr:row>
      <xdr:rowOff>32558</xdr:rowOff>
    </xdr:from>
    <xdr:to>
      <xdr:col>23</xdr:col>
      <xdr:colOff>320260</xdr:colOff>
      <xdr:row>29</xdr:row>
      <xdr:rowOff>123998</xdr:rowOff>
    </xdr:to>
    <xdr:sp macro="" textlink="">
      <xdr:nvSpPr>
        <xdr:cNvPr id="85" name="Rectangle 84">
          <a:extLst>
            <a:ext uri="{FF2B5EF4-FFF2-40B4-BE49-F238E27FC236}">
              <a16:creationId xmlns:a16="http://schemas.microsoft.com/office/drawing/2014/main" id="{00000000-0008-0000-0100-000055000000}"/>
            </a:ext>
          </a:extLst>
        </xdr:cNvPr>
        <xdr:cNvSpPr>
          <a:spLocks noChangeAspect="1"/>
        </xdr:cNvSpPr>
      </xdr:nvSpPr>
      <xdr:spPr>
        <a:xfrm>
          <a:off x="13523715" y="5073790"/>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228820</xdr:colOff>
      <xdr:row>44</xdr:row>
      <xdr:rowOff>43068</xdr:rowOff>
    </xdr:from>
    <xdr:to>
      <xdr:col>23</xdr:col>
      <xdr:colOff>320260</xdr:colOff>
      <xdr:row>44</xdr:row>
      <xdr:rowOff>134508</xdr:rowOff>
    </xdr:to>
    <xdr:sp macro="" textlink="">
      <xdr:nvSpPr>
        <xdr:cNvPr id="92" name="Rectangle 91">
          <a:extLst>
            <a:ext uri="{FF2B5EF4-FFF2-40B4-BE49-F238E27FC236}">
              <a16:creationId xmlns:a16="http://schemas.microsoft.com/office/drawing/2014/main" id="{00000000-0008-0000-0100-00005C000000}"/>
            </a:ext>
          </a:extLst>
        </xdr:cNvPr>
        <xdr:cNvSpPr>
          <a:spLocks noChangeAspect="1"/>
        </xdr:cNvSpPr>
      </xdr:nvSpPr>
      <xdr:spPr>
        <a:xfrm>
          <a:off x="13506670" y="7544006"/>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272261</xdr:colOff>
      <xdr:row>28</xdr:row>
      <xdr:rowOff>73480</xdr:rowOff>
    </xdr:from>
    <xdr:to>
      <xdr:col>15</xdr:col>
      <xdr:colOff>3017</xdr:colOff>
      <xdr:row>28</xdr:row>
      <xdr:rowOff>73480</xdr:rowOff>
    </xdr:to>
    <xdr:cxnSp macro="">
      <xdr:nvCxnSpPr>
        <xdr:cNvPr id="96" name="Straight Arrow Connector 95">
          <a:extLst>
            <a:ext uri="{FF2B5EF4-FFF2-40B4-BE49-F238E27FC236}">
              <a16:creationId xmlns:a16="http://schemas.microsoft.com/office/drawing/2014/main" id="{00000000-0008-0000-0100-000060000000}"/>
            </a:ext>
          </a:extLst>
        </xdr:cNvPr>
        <xdr:cNvCxnSpPr/>
      </xdr:nvCxnSpPr>
      <xdr:spPr>
        <a:xfrm>
          <a:off x="8723534" y="4894862"/>
          <a:ext cx="34035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218761</xdr:colOff>
      <xdr:row>34</xdr:row>
      <xdr:rowOff>108857</xdr:rowOff>
    </xdr:from>
    <xdr:to>
      <xdr:col>15</xdr:col>
      <xdr:colOff>15040</xdr:colOff>
      <xdr:row>34</xdr:row>
      <xdr:rowOff>108857</xdr:rowOff>
    </xdr:to>
    <xdr:cxnSp macro="">
      <xdr:nvCxnSpPr>
        <xdr:cNvPr id="97" name="SAC_1" hidden="1">
          <a:extLst>
            <a:ext uri="{FF2B5EF4-FFF2-40B4-BE49-F238E27FC236}">
              <a16:creationId xmlns:a16="http://schemas.microsoft.com/office/drawing/2014/main" id="{00000000-0008-0000-0100-000061000000}"/>
            </a:ext>
          </a:extLst>
        </xdr:cNvPr>
        <xdr:cNvCxnSpPr/>
      </xdr:nvCxnSpPr>
      <xdr:spPr>
        <a:xfrm>
          <a:off x="8572186" y="6471557"/>
          <a:ext cx="38682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196936</xdr:colOff>
      <xdr:row>41</xdr:row>
      <xdr:rowOff>46482</xdr:rowOff>
    </xdr:from>
    <xdr:to>
      <xdr:col>14</xdr:col>
      <xdr:colOff>288376</xdr:colOff>
      <xdr:row>41</xdr:row>
      <xdr:rowOff>137922</xdr:rowOff>
    </xdr:to>
    <xdr:sp macro="" textlink="">
      <xdr:nvSpPr>
        <xdr:cNvPr id="109" name="Rectangle 108">
          <a:extLst>
            <a:ext uri="{FF2B5EF4-FFF2-40B4-BE49-F238E27FC236}">
              <a16:creationId xmlns:a16="http://schemas.microsoft.com/office/drawing/2014/main" id="{00000000-0008-0000-0100-00006D000000}"/>
            </a:ext>
          </a:extLst>
        </xdr:cNvPr>
        <xdr:cNvSpPr>
          <a:spLocks noChangeAspect="1"/>
        </xdr:cNvSpPr>
      </xdr:nvSpPr>
      <xdr:spPr>
        <a:xfrm>
          <a:off x="8421093" y="7682811"/>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1</xdr:col>
      <xdr:colOff>0</xdr:colOff>
      <xdr:row>15</xdr:row>
      <xdr:rowOff>163394</xdr:rowOff>
    </xdr:from>
    <xdr:to>
      <xdr:col>1</xdr:col>
      <xdr:colOff>554083</xdr:colOff>
      <xdr:row>17</xdr:row>
      <xdr:rowOff>39569</xdr:rowOff>
    </xdr:to>
    <xdr:pic>
      <xdr:nvPicPr>
        <xdr:cNvPr id="147" name="Picture 146" hidden="1">
          <a:extLst>
            <a:ext uri="{FF2B5EF4-FFF2-40B4-BE49-F238E27FC236}">
              <a16:creationId xmlns:a16="http://schemas.microsoft.com/office/drawing/2014/main" id="{00000000-0008-0000-01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4297244"/>
          <a:ext cx="538843"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373544</xdr:colOff>
      <xdr:row>16</xdr:row>
      <xdr:rowOff>6662</xdr:rowOff>
    </xdr:from>
    <xdr:to>
      <xdr:col>3</xdr:col>
      <xdr:colOff>60457</xdr:colOff>
      <xdr:row>17</xdr:row>
      <xdr:rowOff>121249</xdr:rowOff>
    </xdr:to>
    <xdr:sp macro="" textlink="">
      <xdr:nvSpPr>
        <xdr:cNvPr id="148" name="TextBox 147">
          <a:extLst>
            <a:ext uri="{FF2B5EF4-FFF2-40B4-BE49-F238E27FC236}">
              <a16:creationId xmlns:a16="http://schemas.microsoft.com/office/drawing/2014/main" id="{00000000-0008-0000-0100-000094000000}"/>
            </a:ext>
          </a:extLst>
        </xdr:cNvPr>
        <xdr:cNvSpPr txBox="1"/>
      </xdr:nvSpPr>
      <xdr:spPr>
        <a:xfrm>
          <a:off x="573569" y="4311962"/>
          <a:ext cx="1420463" cy="286037"/>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200" b="1">
              <a:latin typeface="Arial" pitchFamily="34" charset="0"/>
              <a:cs typeface="Arial" pitchFamily="34" charset="0"/>
            </a:rPr>
            <a:t>Adapter</a:t>
          </a:r>
        </a:p>
      </xdr:txBody>
    </xdr:sp>
    <xdr:clientData/>
  </xdr:twoCellAnchor>
  <xdr:twoCellAnchor>
    <xdr:from>
      <xdr:col>1</xdr:col>
      <xdr:colOff>373587</xdr:colOff>
      <xdr:row>20</xdr:row>
      <xdr:rowOff>9269</xdr:rowOff>
    </xdr:from>
    <xdr:to>
      <xdr:col>3</xdr:col>
      <xdr:colOff>60500</xdr:colOff>
      <xdr:row>21</xdr:row>
      <xdr:rowOff>123856</xdr:rowOff>
    </xdr:to>
    <xdr:sp macro="" textlink="">
      <xdr:nvSpPr>
        <xdr:cNvPr id="149" name="TextBox 148">
          <a:extLst>
            <a:ext uri="{FF2B5EF4-FFF2-40B4-BE49-F238E27FC236}">
              <a16:creationId xmlns:a16="http://schemas.microsoft.com/office/drawing/2014/main" id="{00000000-0008-0000-0100-000095000000}"/>
            </a:ext>
          </a:extLst>
        </xdr:cNvPr>
        <xdr:cNvSpPr txBox="1"/>
      </xdr:nvSpPr>
      <xdr:spPr>
        <a:xfrm>
          <a:off x="573612" y="5000369"/>
          <a:ext cx="1420463" cy="286037"/>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200" b="1">
              <a:latin typeface="Arial" pitchFamily="34" charset="0"/>
              <a:cs typeface="Arial" pitchFamily="34" charset="0"/>
            </a:rPr>
            <a:t>Charger</a:t>
          </a:r>
        </a:p>
      </xdr:txBody>
    </xdr:sp>
    <xdr:clientData/>
  </xdr:twoCellAnchor>
  <xdr:twoCellAnchor>
    <xdr:from>
      <xdr:col>1</xdr:col>
      <xdr:colOff>375158</xdr:colOff>
      <xdr:row>23</xdr:row>
      <xdr:rowOff>169778</xdr:rowOff>
    </xdr:from>
    <xdr:to>
      <xdr:col>3</xdr:col>
      <xdr:colOff>62071</xdr:colOff>
      <xdr:row>25</xdr:row>
      <xdr:rowOff>95250</xdr:rowOff>
    </xdr:to>
    <xdr:sp macro="" textlink="">
      <xdr:nvSpPr>
        <xdr:cNvPr id="150" name="TextBox 149">
          <a:extLst>
            <a:ext uri="{FF2B5EF4-FFF2-40B4-BE49-F238E27FC236}">
              <a16:creationId xmlns:a16="http://schemas.microsoft.com/office/drawing/2014/main" id="{00000000-0008-0000-0100-000096000000}"/>
            </a:ext>
          </a:extLst>
        </xdr:cNvPr>
        <xdr:cNvSpPr txBox="1"/>
      </xdr:nvSpPr>
      <xdr:spPr>
        <a:xfrm>
          <a:off x="575183" y="5675228"/>
          <a:ext cx="1420463" cy="268372"/>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200" b="1">
              <a:latin typeface="Arial" pitchFamily="34" charset="0"/>
              <a:cs typeface="Arial" pitchFamily="34" charset="0"/>
            </a:rPr>
            <a:t>Battery</a:t>
          </a:r>
        </a:p>
      </xdr:txBody>
    </xdr:sp>
    <xdr:clientData/>
  </xdr:twoCellAnchor>
  <xdr:twoCellAnchor>
    <xdr:from>
      <xdr:col>2</xdr:col>
      <xdr:colOff>164613</xdr:colOff>
      <xdr:row>17</xdr:row>
      <xdr:rowOff>121249</xdr:rowOff>
    </xdr:from>
    <xdr:to>
      <xdr:col>2</xdr:col>
      <xdr:colOff>164656</xdr:colOff>
      <xdr:row>20</xdr:row>
      <xdr:rowOff>9269</xdr:rowOff>
    </xdr:to>
    <xdr:cxnSp macro="">
      <xdr:nvCxnSpPr>
        <xdr:cNvPr id="151" name="Straight Arrow Connector 150">
          <a:extLst>
            <a:ext uri="{FF2B5EF4-FFF2-40B4-BE49-F238E27FC236}">
              <a16:creationId xmlns:a16="http://schemas.microsoft.com/office/drawing/2014/main" id="{00000000-0008-0000-0100-000097000000}"/>
            </a:ext>
          </a:extLst>
        </xdr:cNvPr>
        <xdr:cNvCxnSpPr>
          <a:stCxn id="148" idx="2"/>
        </xdr:cNvCxnSpPr>
      </xdr:nvCxnSpPr>
      <xdr:spPr>
        <a:xfrm>
          <a:off x="1440963" y="4597999"/>
          <a:ext cx="43" cy="402370"/>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164656</xdr:colOff>
      <xdr:row>21</xdr:row>
      <xdr:rowOff>123856</xdr:rowOff>
    </xdr:from>
    <xdr:to>
      <xdr:col>2</xdr:col>
      <xdr:colOff>166227</xdr:colOff>
      <xdr:row>23</xdr:row>
      <xdr:rowOff>169778</xdr:rowOff>
    </xdr:to>
    <xdr:cxnSp macro="">
      <xdr:nvCxnSpPr>
        <xdr:cNvPr id="152" name="Straight Arrow Connector 151">
          <a:extLst>
            <a:ext uri="{FF2B5EF4-FFF2-40B4-BE49-F238E27FC236}">
              <a16:creationId xmlns:a16="http://schemas.microsoft.com/office/drawing/2014/main" id="{00000000-0008-0000-0100-000098000000}"/>
            </a:ext>
          </a:extLst>
        </xdr:cNvPr>
        <xdr:cNvCxnSpPr>
          <a:stCxn id="149" idx="2"/>
        </xdr:cNvCxnSpPr>
      </xdr:nvCxnSpPr>
      <xdr:spPr>
        <a:xfrm>
          <a:off x="1441006" y="5286406"/>
          <a:ext cx="1571" cy="388822"/>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109515</xdr:colOff>
      <xdr:row>18</xdr:row>
      <xdr:rowOff>48989</xdr:rowOff>
    </xdr:from>
    <xdr:to>
      <xdr:col>2</xdr:col>
      <xdr:colOff>200955</xdr:colOff>
      <xdr:row>18</xdr:row>
      <xdr:rowOff>140429</xdr:rowOff>
    </xdr:to>
    <xdr:sp macro="" textlink="">
      <xdr:nvSpPr>
        <xdr:cNvPr id="153" name="Rectangle 152">
          <a:extLst>
            <a:ext uri="{FF2B5EF4-FFF2-40B4-BE49-F238E27FC236}">
              <a16:creationId xmlns:a16="http://schemas.microsoft.com/office/drawing/2014/main" id="{00000000-0008-0000-0100-000099000000}"/>
            </a:ext>
          </a:extLst>
        </xdr:cNvPr>
        <xdr:cNvSpPr>
          <a:spLocks noChangeAspect="1"/>
        </xdr:cNvSpPr>
      </xdr:nvSpPr>
      <xdr:spPr>
        <a:xfrm>
          <a:off x="1383894" y="3320334"/>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xdr:col>
      <xdr:colOff>115279</xdr:colOff>
      <xdr:row>22</xdr:row>
      <xdr:rowOff>26222</xdr:rowOff>
    </xdr:from>
    <xdr:to>
      <xdr:col>2</xdr:col>
      <xdr:colOff>206719</xdr:colOff>
      <xdr:row>22</xdr:row>
      <xdr:rowOff>100078</xdr:rowOff>
    </xdr:to>
    <xdr:sp macro="" textlink="">
      <xdr:nvSpPr>
        <xdr:cNvPr id="154" name="Rectangle 153">
          <a:extLst>
            <a:ext uri="{FF2B5EF4-FFF2-40B4-BE49-F238E27FC236}">
              <a16:creationId xmlns:a16="http://schemas.microsoft.com/office/drawing/2014/main" id="{00000000-0008-0000-0100-00009A000000}"/>
            </a:ext>
          </a:extLst>
        </xdr:cNvPr>
        <xdr:cNvSpPr>
          <a:spLocks noChangeAspect="1"/>
        </xdr:cNvSpPr>
      </xdr:nvSpPr>
      <xdr:spPr>
        <a:xfrm>
          <a:off x="1389658" y="3980739"/>
          <a:ext cx="91440" cy="73856"/>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3</xdr:col>
      <xdr:colOff>85725</xdr:colOff>
      <xdr:row>16</xdr:row>
      <xdr:rowOff>225366</xdr:rowOff>
    </xdr:from>
    <xdr:to>
      <xdr:col>6</xdr:col>
      <xdr:colOff>0</xdr:colOff>
      <xdr:row>18</xdr:row>
      <xdr:rowOff>81987</xdr:rowOff>
    </xdr:to>
    <xdr:sp macro="" textlink="">
      <xdr:nvSpPr>
        <xdr:cNvPr id="155" name="TextBox 154">
          <a:extLst>
            <a:ext uri="{FF2B5EF4-FFF2-40B4-BE49-F238E27FC236}">
              <a16:creationId xmlns:a16="http://schemas.microsoft.com/office/drawing/2014/main" id="{00000000-0008-0000-0100-00009B000000}"/>
            </a:ext>
          </a:extLst>
        </xdr:cNvPr>
        <xdr:cNvSpPr txBox="1"/>
      </xdr:nvSpPr>
      <xdr:spPr>
        <a:xfrm>
          <a:off x="2019300" y="4473516"/>
          <a:ext cx="1095375" cy="256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200" b="1">
              <a:latin typeface="Arial" pitchFamily="34" charset="0"/>
              <a:cs typeface="Arial" pitchFamily="34" charset="0"/>
            </a:rPr>
            <a:t>Non-NVDC</a:t>
          </a:r>
        </a:p>
      </xdr:txBody>
    </xdr:sp>
    <xdr:clientData/>
  </xdr:twoCellAnchor>
  <xdr:twoCellAnchor>
    <xdr:from>
      <xdr:col>3</xdr:col>
      <xdr:colOff>34797</xdr:colOff>
      <xdr:row>22</xdr:row>
      <xdr:rowOff>129961</xdr:rowOff>
    </xdr:from>
    <xdr:to>
      <xdr:col>4</xdr:col>
      <xdr:colOff>405171</xdr:colOff>
      <xdr:row>24</xdr:row>
      <xdr:rowOff>5633</xdr:rowOff>
    </xdr:to>
    <xdr:sp macro="" textlink="">
      <xdr:nvSpPr>
        <xdr:cNvPr id="156" name="TextBox 155">
          <a:extLst>
            <a:ext uri="{FF2B5EF4-FFF2-40B4-BE49-F238E27FC236}">
              <a16:creationId xmlns:a16="http://schemas.microsoft.com/office/drawing/2014/main" id="{00000000-0008-0000-0100-00009C000000}"/>
            </a:ext>
          </a:extLst>
        </xdr:cNvPr>
        <xdr:cNvSpPr txBox="1"/>
      </xdr:nvSpPr>
      <xdr:spPr>
        <a:xfrm>
          <a:off x="1968372" y="5463961"/>
          <a:ext cx="960924" cy="218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200" b="1">
              <a:latin typeface="Arial" pitchFamily="34" charset="0"/>
              <a:cs typeface="Arial" pitchFamily="34" charset="0"/>
            </a:rPr>
            <a:t>NVDC</a:t>
          </a:r>
        </a:p>
      </xdr:txBody>
    </xdr:sp>
    <xdr:clientData/>
  </xdr:twoCellAnchor>
  <xdr:twoCellAnchor>
    <xdr:from>
      <xdr:col>6</xdr:col>
      <xdr:colOff>169838</xdr:colOff>
      <xdr:row>38</xdr:row>
      <xdr:rowOff>40209</xdr:rowOff>
    </xdr:from>
    <xdr:to>
      <xdr:col>24</xdr:col>
      <xdr:colOff>3018</xdr:colOff>
      <xdr:row>38</xdr:row>
      <xdr:rowOff>123590</xdr:rowOff>
    </xdr:to>
    <xdr:grpSp>
      <xdr:nvGrpSpPr>
        <xdr:cNvPr id="55" name="Vnn_Bypass_group">
          <a:extLst>
            <a:ext uri="{FF2B5EF4-FFF2-40B4-BE49-F238E27FC236}">
              <a16:creationId xmlns:a16="http://schemas.microsoft.com/office/drawing/2014/main" id="{00000000-0008-0000-0100-000037000000}"/>
            </a:ext>
          </a:extLst>
        </xdr:cNvPr>
        <xdr:cNvGrpSpPr/>
      </xdr:nvGrpSpPr>
      <xdr:grpSpPr>
        <a:xfrm>
          <a:off x="3522638" y="6805076"/>
          <a:ext cx="11059980" cy="83381"/>
          <a:chOff x="3284099" y="7154970"/>
          <a:chExt cx="10087049" cy="83381"/>
        </a:xfrm>
      </xdr:grpSpPr>
      <xdr:cxnSp macro="">
        <xdr:nvCxnSpPr>
          <xdr:cNvPr id="227" name="Straight Arrow Connector 226">
            <a:extLst>
              <a:ext uri="{FF2B5EF4-FFF2-40B4-BE49-F238E27FC236}">
                <a16:creationId xmlns:a16="http://schemas.microsoft.com/office/drawing/2014/main" id="{00000000-0008-0000-0100-0000E3000000}"/>
              </a:ext>
            </a:extLst>
          </xdr:cNvPr>
          <xdr:cNvCxnSpPr/>
        </xdr:nvCxnSpPr>
        <xdr:spPr>
          <a:xfrm>
            <a:off x="3314286" y="7200486"/>
            <a:ext cx="38080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2" name="Straight Arrow Connector 11">
            <a:extLst>
              <a:ext uri="{FF2B5EF4-FFF2-40B4-BE49-F238E27FC236}">
                <a16:creationId xmlns:a16="http://schemas.microsoft.com/office/drawing/2014/main" id="{00000000-0008-0000-0100-00000C000000}"/>
              </a:ext>
            </a:extLst>
          </xdr:cNvPr>
          <xdr:cNvCxnSpPr/>
        </xdr:nvCxnSpPr>
        <xdr:spPr>
          <a:xfrm>
            <a:off x="8382846" y="7180075"/>
            <a:ext cx="4988302" cy="11336"/>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58" name="Rectangle 157">
            <a:extLst>
              <a:ext uri="{FF2B5EF4-FFF2-40B4-BE49-F238E27FC236}">
                <a16:creationId xmlns:a16="http://schemas.microsoft.com/office/drawing/2014/main" id="{00000000-0008-0000-0100-00009E000000}"/>
              </a:ext>
            </a:extLst>
          </xdr:cNvPr>
          <xdr:cNvSpPr>
            <a:spLocks noChangeAspect="1"/>
          </xdr:cNvSpPr>
        </xdr:nvSpPr>
        <xdr:spPr>
          <a:xfrm>
            <a:off x="3284099" y="7154970"/>
            <a:ext cx="91440" cy="833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14</xdr:col>
      <xdr:colOff>186512</xdr:colOff>
      <xdr:row>33</xdr:row>
      <xdr:rowOff>61722</xdr:rowOff>
    </xdr:from>
    <xdr:to>
      <xdr:col>23</xdr:col>
      <xdr:colOff>586740</xdr:colOff>
      <xdr:row>34</xdr:row>
      <xdr:rowOff>165434</xdr:rowOff>
    </xdr:to>
    <xdr:grpSp>
      <xdr:nvGrpSpPr>
        <xdr:cNvPr id="162" name="V1.8ULS1_group" hidden="1">
          <a:extLst>
            <a:ext uri="{FF2B5EF4-FFF2-40B4-BE49-F238E27FC236}">
              <a16:creationId xmlns:a16="http://schemas.microsoft.com/office/drawing/2014/main" id="{00000000-0008-0000-0100-0000A2000000}"/>
            </a:ext>
          </a:extLst>
        </xdr:cNvPr>
        <xdr:cNvGrpSpPr/>
      </xdr:nvGrpSpPr>
      <xdr:grpSpPr>
        <a:xfrm>
          <a:off x="9305112" y="5979922"/>
          <a:ext cx="5251628" cy="273045"/>
          <a:chOff x="7568387" y="5224272"/>
          <a:chExt cx="5648503" cy="275146"/>
        </a:xfrm>
      </xdr:grpSpPr>
      <mc:AlternateContent xmlns:mc="http://schemas.openxmlformats.org/markup-compatibility/2006">
        <mc:Choice xmlns:a14="http://schemas.microsoft.com/office/drawing/2010/main" Requires="a14">
          <xdr:sp macro="" textlink="">
            <xdr:nvSpPr>
              <xdr:cNvPr id="1043" name="V1.8U_IN4"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7972422" y="5333978"/>
                <a:ext cx="166163" cy="16544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grpSp>
        <xdr:nvGrpSpPr>
          <xdr:cNvPr id="164" name="V1.8ULS_group" hidden="1">
            <a:extLst>
              <a:ext uri="{FF2B5EF4-FFF2-40B4-BE49-F238E27FC236}">
                <a16:creationId xmlns:a16="http://schemas.microsoft.com/office/drawing/2014/main" id="{00000000-0008-0000-0100-0000A4000000}"/>
              </a:ext>
            </a:extLst>
          </xdr:cNvPr>
          <xdr:cNvGrpSpPr/>
        </xdr:nvGrpSpPr>
        <xdr:grpSpPr>
          <a:xfrm>
            <a:off x="7568387" y="5224272"/>
            <a:ext cx="5648503" cy="240235"/>
            <a:chOff x="7568387" y="5224272"/>
            <a:chExt cx="5648503" cy="240235"/>
          </a:xfrm>
        </xdr:grpSpPr>
        <xdr:cxnSp macro="">
          <xdr:nvCxnSpPr>
            <xdr:cNvPr id="165" name="V1.8U_IN2">
              <a:extLst>
                <a:ext uri="{FF2B5EF4-FFF2-40B4-BE49-F238E27FC236}">
                  <a16:creationId xmlns:a16="http://schemas.microsoft.com/office/drawing/2014/main" id="{00000000-0008-0000-0100-0000A5000000}"/>
                </a:ext>
              </a:extLst>
            </xdr:cNvPr>
            <xdr:cNvCxnSpPr/>
          </xdr:nvCxnSpPr>
          <xdr:spPr>
            <a:xfrm flipV="1">
              <a:off x="7630516" y="5293059"/>
              <a:ext cx="1" cy="171448"/>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166" name="V1.8U_IN3">
              <a:extLst>
                <a:ext uri="{FF2B5EF4-FFF2-40B4-BE49-F238E27FC236}">
                  <a16:creationId xmlns:a16="http://schemas.microsoft.com/office/drawing/2014/main" id="{00000000-0008-0000-0100-0000A6000000}"/>
                </a:ext>
              </a:extLst>
            </xdr:cNvPr>
            <xdr:cNvSpPr>
              <a:spLocks noChangeAspect="1"/>
            </xdr:cNvSpPr>
          </xdr:nvSpPr>
          <xdr:spPr>
            <a:xfrm>
              <a:off x="7568387" y="5224272"/>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xnSp macro="">
          <xdr:nvCxnSpPr>
            <xdr:cNvPr id="167" name="V1.8U_IN">
              <a:extLst>
                <a:ext uri="{FF2B5EF4-FFF2-40B4-BE49-F238E27FC236}">
                  <a16:creationId xmlns:a16="http://schemas.microsoft.com/office/drawing/2014/main" id="{00000000-0008-0000-0100-0000A7000000}"/>
                </a:ext>
              </a:extLst>
            </xdr:cNvPr>
            <xdr:cNvCxnSpPr/>
          </xdr:nvCxnSpPr>
          <xdr:spPr>
            <a:xfrm>
              <a:off x="7626803" y="5456465"/>
              <a:ext cx="345622"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68" name="V1.8U_IN5">
              <a:extLst>
                <a:ext uri="{FF2B5EF4-FFF2-40B4-BE49-F238E27FC236}">
                  <a16:creationId xmlns:a16="http://schemas.microsoft.com/office/drawing/2014/main" id="{00000000-0008-0000-0100-0000A8000000}"/>
                </a:ext>
              </a:extLst>
            </xdr:cNvPr>
            <xdr:cNvCxnSpPr/>
          </xdr:nvCxnSpPr>
          <xdr:spPr>
            <a:xfrm>
              <a:off x="12633960" y="5433060"/>
              <a:ext cx="58293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23</xdr:col>
      <xdr:colOff>246469</xdr:colOff>
      <xdr:row>13</xdr:row>
      <xdr:rowOff>78440</xdr:rowOff>
    </xdr:from>
    <xdr:to>
      <xdr:col>23</xdr:col>
      <xdr:colOff>584013</xdr:colOff>
      <xdr:row>15</xdr:row>
      <xdr:rowOff>152803</xdr:rowOff>
    </xdr:to>
    <xdr:grpSp>
      <xdr:nvGrpSpPr>
        <xdr:cNvPr id="169" name="VDDQ_DRAMVROFF_group" hidden="1">
          <a:extLst>
            <a:ext uri="{FF2B5EF4-FFF2-40B4-BE49-F238E27FC236}">
              <a16:creationId xmlns:a16="http://schemas.microsoft.com/office/drawing/2014/main" id="{00000000-0008-0000-0100-0000A9000000}"/>
            </a:ext>
          </a:extLst>
        </xdr:cNvPr>
        <xdr:cNvGrpSpPr/>
      </xdr:nvGrpSpPr>
      <xdr:grpSpPr>
        <a:xfrm>
          <a:off x="14216469" y="2609973"/>
          <a:ext cx="337544" cy="413030"/>
          <a:chOff x="12888373" y="2700231"/>
          <a:chExt cx="337544" cy="204689"/>
        </a:xfrm>
      </xdr:grpSpPr>
      <xdr:cxnSp macro="">
        <xdr:nvCxnSpPr>
          <xdr:cNvPr id="170" name="VDDQ_DRAM4" hidden="1">
            <a:extLst>
              <a:ext uri="{FF2B5EF4-FFF2-40B4-BE49-F238E27FC236}">
                <a16:creationId xmlns:a16="http://schemas.microsoft.com/office/drawing/2014/main" id="{00000000-0008-0000-0100-0000AA000000}"/>
              </a:ext>
            </a:extLst>
          </xdr:cNvPr>
          <xdr:cNvCxnSpPr/>
        </xdr:nvCxnSpPr>
        <xdr:spPr>
          <a:xfrm>
            <a:off x="12930220" y="2704920"/>
            <a:ext cx="0" cy="160770"/>
          </a:xfrm>
          <a:prstGeom prst="straightConnector1">
            <a:avLst/>
          </a:prstGeom>
          <a:ln w="38100">
            <a:solidFill>
              <a:schemeClr val="tx1"/>
            </a:solidFill>
            <a:prstDash val="soli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 name="VDDQ_DRAM5" hidden="1">
            <a:extLst>
              <a:ext uri="{FF2B5EF4-FFF2-40B4-BE49-F238E27FC236}">
                <a16:creationId xmlns:a16="http://schemas.microsoft.com/office/drawing/2014/main" id="{00000000-0008-0000-0100-0000AB000000}"/>
              </a:ext>
            </a:extLst>
          </xdr:cNvPr>
          <xdr:cNvCxnSpPr/>
        </xdr:nvCxnSpPr>
        <xdr:spPr>
          <a:xfrm>
            <a:off x="12907578" y="2700231"/>
            <a:ext cx="31833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72" name="VDDQ_DRAM6" hidden="1">
            <a:extLst>
              <a:ext uri="{FF2B5EF4-FFF2-40B4-BE49-F238E27FC236}">
                <a16:creationId xmlns:a16="http://schemas.microsoft.com/office/drawing/2014/main" id="{00000000-0008-0000-0100-0000AC000000}"/>
              </a:ext>
            </a:extLst>
          </xdr:cNvPr>
          <xdr:cNvSpPr>
            <a:spLocks noChangeAspect="1"/>
          </xdr:cNvSpPr>
        </xdr:nvSpPr>
        <xdr:spPr>
          <a:xfrm>
            <a:off x="12888373" y="2813480"/>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6</xdr:col>
      <xdr:colOff>165418</xdr:colOff>
      <xdr:row>13</xdr:row>
      <xdr:rowOff>31937</xdr:rowOff>
    </xdr:from>
    <xdr:to>
      <xdr:col>24</xdr:col>
      <xdr:colOff>1371</xdr:colOff>
      <xdr:row>13</xdr:row>
      <xdr:rowOff>123377</xdr:rowOff>
    </xdr:to>
    <xdr:grpSp>
      <xdr:nvGrpSpPr>
        <xdr:cNvPr id="29" name="VDDQ_TxVR_group">
          <a:extLst>
            <a:ext uri="{FF2B5EF4-FFF2-40B4-BE49-F238E27FC236}">
              <a16:creationId xmlns:a16="http://schemas.microsoft.com/office/drawing/2014/main" id="{00000000-0008-0000-0100-00001D000000}"/>
            </a:ext>
          </a:extLst>
        </xdr:cNvPr>
        <xdr:cNvGrpSpPr/>
      </xdr:nvGrpSpPr>
      <xdr:grpSpPr>
        <a:xfrm>
          <a:off x="3518218" y="2563470"/>
          <a:ext cx="11062753" cy="91440"/>
          <a:chOff x="3278467" y="2452681"/>
          <a:chExt cx="10090428" cy="91440"/>
        </a:xfrm>
      </xdr:grpSpPr>
      <xdr:cxnSp macro="">
        <xdr:nvCxnSpPr>
          <xdr:cNvPr id="203" name="VDDQ_DRAM3">
            <a:extLst>
              <a:ext uri="{FF2B5EF4-FFF2-40B4-BE49-F238E27FC236}">
                <a16:creationId xmlns:a16="http://schemas.microsoft.com/office/drawing/2014/main" id="{00000000-0008-0000-0100-0000CB000000}"/>
              </a:ext>
            </a:extLst>
          </xdr:cNvPr>
          <xdr:cNvCxnSpPr/>
        </xdr:nvCxnSpPr>
        <xdr:spPr>
          <a:xfrm flipV="1">
            <a:off x="8381675" y="2499739"/>
            <a:ext cx="4987220" cy="8091"/>
          </a:xfrm>
          <a:prstGeom prst="straightConnector1">
            <a:avLst/>
          </a:prstGeom>
          <a:ln w="38100">
            <a:solidFill>
              <a:schemeClr val="tx1"/>
            </a:solidFill>
            <a:prstDash val="soli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04" name="VDDQ_DRAM1">
            <a:extLst>
              <a:ext uri="{FF2B5EF4-FFF2-40B4-BE49-F238E27FC236}">
                <a16:creationId xmlns:a16="http://schemas.microsoft.com/office/drawing/2014/main" id="{00000000-0008-0000-0100-0000CC000000}"/>
              </a:ext>
            </a:extLst>
          </xdr:cNvPr>
          <xdr:cNvCxnSpPr/>
        </xdr:nvCxnSpPr>
        <xdr:spPr>
          <a:xfrm>
            <a:off x="3362736" y="2505232"/>
            <a:ext cx="340398" cy="1237"/>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05" name="VDDQ_DRAM2">
            <a:extLst>
              <a:ext uri="{FF2B5EF4-FFF2-40B4-BE49-F238E27FC236}">
                <a16:creationId xmlns:a16="http://schemas.microsoft.com/office/drawing/2014/main" id="{00000000-0008-0000-0100-0000CD000000}"/>
              </a:ext>
            </a:extLst>
          </xdr:cNvPr>
          <xdr:cNvSpPr>
            <a:spLocks noChangeAspect="1"/>
          </xdr:cNvSpPr>
        </xdr:nvSpPr>
        <xdr:spPr>
          <a:xfrm>
            <a:off x="3278467" y="2452681"/>
            <a:ext cx="9586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6</xdr:col>
      <xdr:colOff>169838</xdr:colOff>
      <xdr:row>36</xdr:row>
      <xdr:rowOff>39559</xdr:rowOff>
    </xdr:from>
    <xdr:to>
      <xdr:col>24</xdr:col>
      <xdr:colOff>3018</xdr:colOff>
      <xdr:row>36</xdr:row>
      <xdr:rowOff>130999</xdr:rowOff>
    </xdr:to>
    <xdr:grpSp>
      <xdr:nvGrpSpPr>
        <xdr:cNvPr id="30" name="V1.05_Bypass_group">
          <a:extLst>
            <a:ext uri="{FF2B5EF4-FFF2-40B4-BE49-F238E27FC236}">
              <a16:creationId xmlns:a16="http://schemas.microsoft.com/office/drawing/2014/main" id="{00000000-0008-0000-0100-00001E000000}"/>
            </a:ext>
          </a:extLst>
        </xdr:cNvPr>
        <xdr:cNvGrpSpPr/>
      </xdr:nvGrpSpPr>
      <xdr:grpSpPr>
        <a:xfrm>
          <a:off x="3522638" y="6465759"/>
          <a:ext cx="11059980" cy="91440"/>
          <a:chOff x="3284099" y="6806450"/>
          <a:chExt cx="10087049" cy="91440"/>
        </a:xfrm>
      </xdr:grpSpPr>
      <xdr:cxnSp macro="">
        <xdr:nvCxnSpPr>
          <xdr:cNvPr id="41" name="Straight Arrow Connector 40">
            <a:extLst>
              <a:ext uri="{FF2B5EF4-FFF2-40B4-BE49-F238E27FC236}">
                <a16:creationId xmlns:a16="http://schemas.microsoft.com/office/drawing/2014/main" id="{00000000-0008-0000-0100-000029000000}"/>
              </a:ext>
            </a:extLst>
          </xdr:cNvPr>
          <xdr:cNvCxnSpPr/>
        </xdr:nvCxnSpPr>
        <xdr:spPr>
          <a:xfrm>
            <a:off x="3339275" y="6847574"/>
            <a:ext cx="35814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42" name="Rectangle 41">
            <a:extLst>
              <a:ext uri="{FF2B5EF4-FFF2-40B4-BE49-F238E27FC236}">
                <a16:creationId xmlns:a16="http://schemas.microsoft.com/office/drawing/2014/main" id="{00000000-0008-0000-0100-00002A000000}"/>
              </a:ext>
            </a:extLst>
          </xdr:cNvPr>
          <xdr:cNvSpPr>
            <a:spLocks noChangeAspect="1"/>
          </xdr:cNvSpPr>
        </xdr:nvSpPr>
        <xdr:spPr>
          <a:xfrm>
            <a:off x="3284099" y="6806450"/>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xnSp macro="">
        <xdr:nvCxnSpPr>
          <xdr:cNvPr id="222" name="Straight Arrow Connector 221">
            <a:extLst>
              <a:ext uri="{FF2B5EF4-FFF2-40B4-BE49-F238E27FC236}">
                <a16:creationId xmlns:a16="http://schemas.microsoft.com/office/drawing/2014/main" id="{00000000-0008-0000-0100-0000DE000000}"/>
              </a:ext>
            </a:extLst>
          </xdr:cNvPr>
          <xdr:cNvCxnSpPr/>
        </xdr:nvCxnSpPr>
        <xdr:spPr>
          <a:xfrm>
            <a:off x="8392777" y="6832205"/>
            <a:ext cx="4978371" cy="19426"/>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200025</xdr:colOff>
      <xdr:row>23</xdr:row>
      <xdr:rowOff>76200</xdr:rowOff>
    </xdr:from>
    <xdr:to>
      <xdr:col>7</xdr:col>
      <xdr:colOff>0</xdr:colOff>
      <xdr:row>23</xdr:row>
      <xdr:rowOff>81011</xdr:rowOff>
    </xdr:to>
    <xdr:cxnSp macro="">
      <xdr:nvCxnSpPr>
        <xdr:cNvPr id="193" name="Straight Arrow Connector 192">
          <a:extLst>
            <a:ext uri="{FF2B5EF4-FFF2-40B4-BE49-F238E27FC236}">
              <a16:creationId xmlns:a16="http://schemas.microsoft.com/office/drawing/2014/main" id="{00000000-0008-0000-0100-0000C1000000}"/>
            </a:ext>
          </a:extLst>
        </xdr:cNvPr>
        <xdr:cNvCxnSpPr/>
      </xdr:nvCxnSpPr>
      <xdr:spPr>
        <a:xfrm flipV="1">
          <a:off x="3314700" y="4552950"/>
          <a:ext cx="390525" cy="4811"/>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169838</xdr:colOff>
      <xdr:row>23</xdr:row>
      <xdr:rowOff>20859</xdr:rowOff>
    </xdr:from>
    <xdr:to>
      <xdr:col>6</xdr:col>
      <xdr:colOff>261278</xdr:colOff>
      <xdr:row>23</xdr:row>
      <xdr:rowOff>115661</xdr:rowOff>
    </xdr:to>
    <xdr:sp macro="" textlink="">
      <xdr:nvSpPr>
        <xdr:cNvPr id="157" name="Rectangle 156" hidden="1">
          <a:extLst>
            <a:ext uri="{FF2B5EF4-FFF2-40B4-BE49-F238E27FC236}">
              <a16:creationId xmlns:a16="http://schemas.microsoft.com/office/drawing/2014/main" id="{00000000-0008-0000-0100-00009D000000}"/>
            </a:ext>
          </a:extLst>
        </xdr:cNvPr>
        <xdr:cNvSpPr>
          <a:spLocks noChangeAspect="1"/>
        </xdr:cNvSpPr>
      </xdr:nvSpPr>
      <xdr:spPr>
        <a:xfrm>
          <a:off x="3288022" y="4477556"/>
          <a:ext cx="91440" cy="94802"/>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246469</xdr:colOff>
      <xdr:row>20</xdr:row>
      <xdr:rowOff>0</xdr:rowOff>
    </xdr:from>
    <xdr:to>
      <xdr:col>23</xdr:col>
      <xdr:colOff>584013</xdr:colOff>
      <xdr:row>20</xdr:row>
      <xdr:rowOff>152803</xdr:rowOff>
    </xdr:to>
    <xdr:grpSp>
      <xdr:nvGrpSpPr>
        <xdr:cNvPr id="194" name="VDDQ_DRAMVROFF_group" hidden="1">
          <a:extLst>
            <a:ext uri="{FF2B5EF4-FFF2-40B4-BE49-F238E27FC236}">
              <a16:creationId xmlns:a16="http://schemas.microsoft.com/office/drawing/2014/main" id="{00000000-0008-0000-0100-0000C2000000}"/>
            </a:ext>
          </a:extLst>
        </xdr:cNvPr>
        <xdr:cNvGrpSpPr/>
      </xdr:nvGrpSpPr>
      <xdr:grpSpPr>
        <a:xfrm>
          <a:off x="14216469" y="3716867"/>
          <a:ext cx="337544" cy="152803"/>
          <a:chOff x="12888373" y="2700231"/>
          <a:chExt cx="337544" cy="204689"/>
        </a:xfrm>
      </xdr:grpSpPr>
      <xdr:cxnSp macro="">
        <xdr:nvCxnSpPr>
          <xdr:cNvPr id="195" name="VDDQ_DRAM4">
            <a:extLst>
              <a:ext uri="{FF2B5EF4-FFF2-40B4-BE49-F238E27FC236}">
                <a16:creationId xmlns:a16="http://schemas.microsoft.com/office/drawing/2014/main" id="{00000000-0008-0000-0100-0000C3000000}"/>
              </a:ext>
            </a:extLst>
          </xdr:cNvPr>
          <xdr:cNvCxnSpPr/>
        </xdr:nvCxnSpPr>
        <xdr:spPr>
          <a:xfrm>
            <a:off x="12930220" y="2704920"/>
            <a:ext cx="0" cy="160770"/>
          </a:xfrm>
          <a:prstGeom prst="straightConnector1">
            <a:avLst/>
          </a:prstGeom>
          <a:ln w="38100">
            <a:solidFill>
              <a:schemeClr val="tx1"/>
            </a:solidFill>
            <a:prstDash val="soli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6" name="VDDQ_DRAM5">
            <a:extLst>
              <a:ext uri="{FF2B5EF4-FFF2-40B4-BE49-F238E27FC236}">
                <a16:creationId xmlns:a16="http://schemas.microsoft.com/office/drawing/2014/main" id="{00000000-0008-0000-0100-0000C4000000}"/>
              </a:ext>
            </a:extLst>
          </xdr:cNvPr>
          <xdr:cNvCxnSpPr/>
        </xdr:nvCxnSpPr>
        <xdr:spPr>
          <a:xfrm>
            <a:off x="12907578" y="2700231"/>
            <a:ext cx="31833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97" name="VDDQ_DRAM6">
            <a:extLst>
              <a:ext uri="{FF2B5EF4-FFF2-40B4-BE49-F238E27FC236}">
                <a16:creationId xmlns:a16="http://schemas.microsoft.com/office/drawing/2014/main" id="{00000000-0008-0000-0100-0000C5000000}"/>
              </a:ext>
            </a:extLst>
          </xdr:cNvPr>
          <xdr:cNvSpPr>
            <a:spLocks noChangeAspect="1"/>
          </xdr:cNvSpPr>
        </xdr:nvSpPr>
        <xdr:spPr>
          <a:xfrm>
            <a:off x="12888373" y="2813480"/>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11335</xdr:colOff>
      <xdr:row>9</xdr:row>
      <xdr:rowOff>80010</xdr:rowOff>
    </xdr:from>
    <xdr:to>
      <xdr:col>24</xdr:col>
      <xdr:colOff>3018</xdr:colOff>
      <xdr:row>9</xdr:row>
      <xdr:rowOff>80010</xdr:rowOff>
    </xdr:to>
    <xdr:cxnSp macro="">
      <xdr:nvCxnSpPr>
        <xdr:cNvPr id="217" name="Straight Arrow Connector 216">
          <a:extLst>
            <a:ext uri="{FF2B5EF4-FFF2-40B4-BE49-F238E27FC236}">
              <a16:creationId xmlns:a16="http://schemas.microsoft.com/office/drawing/2014/main" id="{00000000-0008-0000-0100-0000D9000000}"/>
            </a:ext>
          </a:extLst>
        </xdr:cNvPr>
        <xdr:cNvCxnSpPr/>
      </xdr:nvCxnSpPr>
      <xdr:spPr>
        <a:xfrm>
          <a:off x="13289185" y="1913573"/>
          <a:ext cx="601283"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29</xdr:col>
      <xdr:colOff>31750</xdr:colOff>
      <xdr:row>39</xdr:row>
      <xdr:rowOff>0</xdr:rowOff>
    </xdr:from>
    <xdr:ext cx="184731" cy="264560"/>
    <xdr:sp macro="" textlink="">
      <xdr:nvSpPr>
        <xdr:cNvPr id="237" name="TextBox 236">
          <a:extLst>
            <a:ext uri="{FF2B5EF4-FFF2-40B4-BE49-F238E27FC236}">
              <a16:creationId xmlns:a16="http://schemas.microsoft.com/office/drawing/2014/main" id="{00000000-0008-0000-0100-0000ED000000}"/>
            </a:ext>
          </a:extLst>
        </xdr:cNvPr>
        <xdr:cNvSpPr txBox="1"/>
      </xdr:nvSpPr>
      <xdr:spPr>
        <a:xfrm>
          <a:off x="17148175" y="845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39</xdr:row>
      <xdr:rowOff>0</xdr:rowOff>
    </xdr:from>
    <xdr:ext cx="184731" cy="264560"/>
    <xdr:sp macro="" textlink="">
      <xdr:nvSpPr>
        <xdr:cNvPr id="238" name="TextBox 237">
          <a:extLst>
            <a:ext uri="{FF2B5EF4-FFF2-40B4-BE49-F238E27FC236}">
              <a16:creationId xmlns:a16="http://schemas.microsoft.com/office/drawing/2014/main" id="{00000000-0008-0000-0100-0000EE000000}"/>
            </a:ext>
          </a:extLst>
        </xdr:cNvPr>
        <xdr:cNvSpPr txBox="1"/>
      </xdr:nvSpPr>
      <xdr:spPr>
        <a:xfrm>
          <a:off x="17148175" y="845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63</xdr:row>
      <xdr:rowOff>0</xdr:rowOff>
    </xdr:from>
    <xdr:ext cx="184731" cy="264560"/>
    <xdr:sp macro="" textlink="">
      <xdr:nvSpPr>
        <xdr:cNvPr id="239" name="TextBox 238">
          <a:extLst>
            <a:ext uri="{FF2B5EF4-FFF2-40B4-BE49-F238E27FC236}">
              <a16:creationId xmlns:a16="http://schemas.microsoft.com/office/drawing/2014/main" id="{00000000-0008-0000-0100-0000EF000000}"/>
            </a:ext>
          </a:extLst>
        </xdr:cNvPr>
        <xdr:cNvSpPr txBox="1"/>
      </xdr:nvSpPr>
      <xdr:spPr>
        <a:xfrm>
          <a:off x="17148175" y="1240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63</xdr:row>
      <xdr:rowOff>0</xdr:rowOff>
    </xdr:from>
    <xdr:ext cx="184731" cy="264560"/>
    <xdr:sp macro="" textlink="">
      <xdr:nvSpPr>
        <xdr:cNvPr id="240" name="TextBox 239">
          <a:extLst>
            <a:ext uri="{FF2B5EF4-FFF2-40B4-BE49-F238E27FC236}">
              <a16:creationId xmlns:a16="http://schemas.microsoft.com/office/drawing/2014/main" id="{00000000-0008-0000-0100-0000F0000000}"/>
            </a:ext>
          </a:extLst>
        </xdr:cNvPr>
        <xdr:cNvSpPr txBox="1"/>
      </xdr:nvSpPr>
      <xdr:spPr>
        <a:xfrm>
          <a:off x="17148175" y="1240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40</xdr:row>
      <xdr:rowOff>0</xdr:rowOff>
    </xdr:from>
    <xdr:ext cx="184731" cy="264560"/>
    <xdr:sp macro="" textlink="">
      <xdr:nvSpPr>
        <xdr:cNvPr id="241" name="TextBox 240">
          <a:extLst>
            <a:ext uri="{FF2B5EF4-FFF2-40B4-BE49-F238E27FC236}">
              <a16:creationId xmlns:a16="http://schemas.microsoft.com/office/drawing/2014/main" id="{00000000-0008-0000-0100-0000F1000000}"/>
            </a:ext>
          </a:extLst>
        </xdr:cNvPr>
        <xdr:cNvSpPr txBox="1"/>
      </xdr:nvSpPr>
      <xdr:spPr>
        <a:xfrm>
          <a:off x="17148175" y="8629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40</xdr:row>
      <xdr:rowOff>0</xdr:rowOff>
    </xdr:from>
    <xdr:ext cx="184731" cy="264560"/>
    <xdr:sp macro="" textlink="">
      <xdr:nvSpPr>
        <xdr:cNvPr id="243" name="TextBox 242">
          <a:extLst>
            <a:ext uri="{FF2B5EF4-FFF2-40B4-BE49-F238E27FC236}">
              <a16:creationId xmlns:a16="http://schemas.microsoft.com/office/drawing/2014/main" id="{00000000-0008-0000-0100-0000F3000000}"/>
            </a:ext>
          </a:extLst>
        </xdr:cNvPr>
        <xdr:cNvSpPr txBox="1"/>
      </xdr:nvSpPr>
      <xdr:spPr>
        <a:xfrm>
          <a:off x="17148175" y="8629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40</xdr:row>
      <xdr:rowOff>0</xdr:rowOff>
    </xdr:from>
    <xdr:ext cx="184731" cy="264560"/>
    <xdr:sp macro="" textlink="">
      <xdr:nvSpPr>
        <xdr:cNvPr id="244" name="TextBox 243">
          <a:extLst>
            <a:ext uri="{FF2B5EF4-FFF2-40B4-BE49-F238E27FC236}">
              <a16:creationId xmlns:a16="http://schemas.microsoft.com/office/drawing/2014/main" id="{00000000-0008-0000-0100-0000F4000000}"/>
            </a:ext>
          </a:extLst>
        </xdr:cNvPr>
        <xdr:cNvSpPr txBox="1"/>
      </xdr:nvSpPr>
      <xdr:spPr>
        <a:xfrm>
          <a:off x="17148175" y="8629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63</xdr:row>
      <xdr:rowOff>0</xdr:rowOff>
    </xdr:from>
    <xdr:ext cx="184731" cy="264560"/>
    <xdr:sp macro="" textlink="">
      <xdr:nvSpPr>
        <xdr:cNvPr id="245" name="TextBox 244">
          <a:extLst>
            <a:ext uri="{FF2B5EF4-FFF2-40B4-BE49-F238E27FC236}">
              <a16:creationId xmlns:a16="http://schemas.microsoft.com/office/drawing/2014/main" id="{00000000-0008-0000-0100-0000F5000000}"/>
            </a:ext>
          </a:extLst>
        </xdr:cNvPr>
        <xdr:cNvSpPr txBox="1"/>
      </xdr:nvSpPr>
      <xdr:spPr>
        <a:xfrm>
          <a:off x="17148175" y="1240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63</xdr:row>
      <xdr:rowOff>0</xdr:rowOff>
    </xdr:from>
    <xdr:ext cx="184731" cy="264560"/>
    <xdr:sp macro="" textlink="">
      <xdr:nvSpPr>
        <xdr:cNvPr id="246" name="TextBox 245">
          <a:extLst>
            <a:ext uri="{FF2B5EF4-FFF2-40B4-BE49-F238E27FC236}">
              <a16:creationId xmlns:a16="http://schemas.microsoft.com/office/drawing/2014/main" id="{00000000-0008-0000-0100-0000F6000000}"/>
            </a:ext>
          </a:extLst>
        </xdr:cNvPr>
        <xdr:cNvSpPr txBox="1"/>
      </xdr:nvSpPr>
      <xdr:spPr>
        <a:xfrm>
          <a:off x="17148175" y="1240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54</xdr:row>
      <xdr:rowOff>0</xdr:rowOff>
    </xdr:from>
    <xdr:ext cx="184731" cy="264560"/>
    <xdr:sp macro="" textlink="">
      <xdr:nvSpPr>
        <xdr:cNvPr id="247" name="TextBox 246">
          <a:extLst>
            <a:ext uri="{FF2B5EF4-FFF2-40B4-BE49-F238E27FC236}">
              <a16:creationId xmlns:a16="http://schemas.microsoft.com/office/drawing/2014/main" id="{00000000-0008-0000-0100-0000F7000000}"/>
            </a:ext>
          </a:extLst>
        </xdr:cNvPr>
        <xdr:cNvSpPr txBox="1"/>
      </xdr:nvSpPr>
      <xdr:spPr>
        <a:xfrm>
          <a:off x="17148175" y="11029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58</xdr:row>
      <xdr:rowOff>0</xdr:rowOff>
    </xdr:from>
    <xdr:ext cx="184731" cy="264560"/>
    <xdr:sp macro="" textlink="">
      <xdr:nvSpPr>
        <xdr:cNvPr id="248" name="TextBox 247">
          <a:extLst>
            <a:ext uri="{FF2B5EF4-FFF2-40B4-BE49-F238E27FC236}">
              <a16:creationId xmlns:a16="http://schemas.microsoft.com/office/drawing/2014/main" id="{00000000-0008-0000-0100-0000F8000000}"/>
            </a:ext>
          </a:extLst>
        </xdr:cNvPr>
        <xdr:cNvSpPr txBox="1"/>
      </xdr:nvSpPr>
      <xdr:spPr>
        <a:xfrm>
          <a:off x="17148175" y="1171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29</xdr:col>
      <xdr:colOff>31750</xdr:colOff>
      <xdr:row>39</xdr:row>
      <xdr:rowOff>0</xdr:rowOff>
    </xdr:from>
    <xdr:ext cx="184731" cy="264560"/>
    <xdr:sp macro="" textlink="">
      <xdr:nvSpPr>
        <xdr:cNvPr id="249" name="TextBox 248">
          <a:extLst>
            <a:ext uri="{FF2B5EF4-FFF2-40B4-BE49-F238E27FC236}">
              <a16:creationId xmlns:a16="http://schemas.microsoft.com/office/drawing/2014/main" id="{00000000-0008-0000-0100-0000F9000000}"/>
            </a:ext>
          </a:extLst>
        </xdr:cNvPr>
        <xdr:cNvSpPr txBox="1"/>
      </xdr:nvSpPr>
      <xdr:spPr>
        <a:xfrm>
          <a:off x="17148175" y="845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twoCellAnchor>
    <xdr:from>
      <xdr:col>23</xdr:col>
      <xdr:colOff>275229</xdr:colOff>
      <xdr:row>24</xdr:row>
      <xdr:rowOff>90254</xdr:rowOff>
    </xdr:from>
    <xdr:to>
      <xdr:col>24</xdr:col>
      <xdr:colOff>3018</xdr:colOff>
      <xdr:row>24</xdr:row>
      <xdr:rowOff>90254</xdr:rowOff>
    </xdr:to>
    <xdr:cxnSp macro="">
      <xdr:nvCxnSpPr>
        <xdr:cNvPr id="250" name="Straight Arrow Connector 249">
          <a:extLst>
            <a:ext uri="{FF2B5EF4-FFF2-40B4-BE49-F238E27FC236}">
              <a16:creationId xmlns:a16="http://schemas.microsoft.com/office/drawing/2014/main" id="{00000000-0008-0000-0100-0000FA000000}"/>
            </a:ext>
          </a:extLst>
        </xdr:cNvPr>
        <xdr:cNvCxnSpPr/>
      </xdr:nvCxnSpPr>
      <xdr:spPr>
        <a:xfrm>
          <a:off x="13563337" y="4316423"/>
          <a:ext cx="33738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274320</xdr:colOff>
      <xdr:row>24</xdr:row>
      <xdr:rowOff>92928</xdr:rowOff>
    </xdr:from>
    <xdr:to>
      <xdr:col>24</xdr:col>
      <xdr:colOff>3018</xdr:colOff>
      <xdr:row>25</xdr:row>
      <xdr:rowOff>86591</xdr:rowOff>
    </xdr:to>
    <xdr:sp macro="" textlink="">
      <xdr:nvSpPr>
        <xdr:cNvPr id="334" name="Freeform 333">
          <a:extLst>
            <a:ext uri="{FF2B5EF4-FFF2-40B4-BE49-F238E27FC236}">
              <a16:creationId xmlns:a16="http://schemas.microsoft.com/office/drawing/2014/main" id="{00000000-0008-0000-0100-00004E010000}"/>
            </a:ext>
          </a:extLst>
        </xdr:cNvPr>
        <xdr:cNvSpPr/>
      </xdr:nvSpPr>
      <xdr:spPr>
        <a:xfrm>
          <a:off x="13559140" y="4270918"/>
          <a:ext cx="338298" cy="160932"/>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228820</xdr:colOff>
      <xdr:row>24</xdr:row>
      <xdr:rowOff>42862</xdr:rowOff>
    </xdr:from>
    <xdr:to>
      <xdr:col>23</xdr:col>
      <xdr:colOff>320260</xdr:colOff>
      <xdr:row>24</xdr:row>
      <xdr:rowOff>134302</xdr:rowOff>
    </xdr:to>
    <xdr:sp macro="" textlink="">
      <xdr:nvSpPr>
        <xdr:cNvPr id="251" name="Rectangle 250">
          <a:extLst>
            <a:ext uri="{FF2B5EF4-FFF2-40B4-BE49-F238E27FC236}">
              <a16:creationId xmlns:a16="http://schemas.microsoft.com/office/drawing/2014/main" id="{00000000-0008-0000-0100-0000FB000000}"/>
            </a:ext>
          </a:extLst>
        </xdr:cNvPr>
        <xdr:cNvSpPr>
          <a:spLocks noChangeAspect="1"/>
        </xdr:cNvSpPr>
      </xdr:nvSpPr>
      <xdr:spPr>
        <a:xfrm>
          <a:off x="13516928" y="4269031"/>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oneCellAnchor>
    <xdr:from>
      <xdr:col>29</xdr:col>
      <xdr:colOff>31750</xdr:colOff>
      <xdr:row>68</xdr:row>
      <xdr:rowOff>47625</xdr:rowOff>
    </xdr:from>
    <xdr:ext cx="184731" cy="264560"/>
    <xdr:sp macro="" textlink="">
      <xdr:nvSpPr>
        <xdr:cNvPr id="211" name="TextBox 210">
          <a:extLst>
            <a:ext uri="{FF2B5EF4-FFF2-40B4-BE49-F238E27FC236}">
              <a16:creationId xmlns:a16="http://schemas.microsoft.com/office/drawing/2014/main" id="{00000000-0008-0000-0100-0000D3000000}"/>
            </a:ext>
          </a:extLst>
        </xdr:cNvPr>
        <xdr:cNvSpPr txBox="1"/>
      </xdr:nvSpPr>
      <xdr:spPr>
        <a:xfrm>
          <a:off x="16757650" y="1309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twoCellAnchor>
    <xdr:from>
      <xdr:col>19</xdr:col>
      <xdr:colOff>0</xdr:colOff>
      <xdr:row>40</xdr:row>
      <xdr:rowOff>0</xdr:rowOff>
    </xdr:from>
    <xdr:to>
      <xdr:col>19</xdr:col>
      <xdr:colOff>179</xdr:colOff>
      <xdr:row>41</xdr:row>
      <xdr:rowOff>50821</xdr:rowOff>
    </xdr:to>
    <xdr:cxnSp macro="">
      <xdr:nvCxnSpPr>
        <xdr:cNvPr id="293" name="Straight Arrow Connector 292">
          <a:extLst>
            <a:ext uri="{FF2B5EF4-FFF2-40B4-BE49-F238E27FC236}">
              <a16:creationId xmlns:a16="http://schemas.microsoft.com/office/drawing/2014/main" id="{00000000-0008-0000-0100-000025010000}"/>
            </a:ext>
          </a:extLst>
        </xdr:cNvPr>
        <xdr:cNvCxnSpPr/>
      </xdr:nvCxnSpPr>
      <xdr:spPr>
        <a:xfrm flipH="1">
          <a:off x="12150328" y="7090172"/>
          <a:ext cx="179" cy="223462"/>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295603</xdr:colOff>
      <xdr:row>62</xdr:row>
      <xdr:rowOff>127438</xdr:rowOff>
    </xdr:from>
    <xdr:to>
      <xdr:col>22</xdr:col>
      <xdr:colOff>12444</xdr:colOff>
      <xdr:row>66</xdr:row>
      <xdr:rowOff>25947</xdr:rowOff>
    </xdr:to>
    <xdr:grpSp>
      <xdr:nvGrpSpPr>
        <xdr:cNvPr id="100" name="V5Dx_WP_group" hidden="1">
          <a:extLst>
            <a:ext uri="{FF2B5EF4-FFF2-40B4-BE49-F238E27FC236}">
              <a16:creationId xmlns:a16="http://schemas.microsoft.com/office/drawing/2014/main" id="{00000000-0008-0000-0100-000064000000}"/>
            </a:ext>
          </a:extLst>
        </xdr:cNvPr>
        <xdr:cNvGrpSpPr/>
      </xdr:nvGrpSpPr>
      <xdr:grpSpPr>
        <a:xfrm>
          <a:off x="12902470" y="10956305"/>
          <a:ext cx="436507" cy="575842"/>
          <a:chOff x="12989092" y="9778666"/>
          <a:chExt cx="413497" cy="578017"/>
        </a:xfrm>
      </xdr:grpSpPr>
      <xdr:cxnSp macro="">
        <xdr:nvCxnSpPr>
          <xdr:cNvPr id="311" name="Straight Arrow Connector 310">
            <a:extLst>
              <a:ext uri="{FF2B5EF4-FFF2-40B4-BE49-F238E27FC236}">
                <a16:creationId xmlns:a16="http://schemas.microsoft.com/office/drawing/2014/main" id="{00000000-0008-0000-0100-000037010000}"/>
              </a:ext>
            </a:extLst>
          </xdr:cNvPr>
          <xdr:cNvCxnSpPr/>
        </xdr:nvCxnSpPr>
        <xdr:spPr>
          <a:xfrm>
            <a:off x="13035048" y="9794570"/>
            <a:ext cx="1669" cy="562113"/>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 name="Straight Arrow Connector 311">
            <a:extLst>
              <a:ext uri="{FF2B5EF4-FFF2-40B4-BE49-F238E27FC236}">
                <a16:creationId xmlns:a16="http://schemas.microsoft.com/office/drawing/2014/main" id="{00000000-0008-0000-0100-000038010000}"/>
              </a:ext>
            </a:extLst>
          </xdr:cNvPr>
          <xdr:cNvCxnSpPr/>
        </xdr:nvCxnSpPr>
        <xdr:spPr>
          <a:xfrm>
            <a:off x="13045642" y="10178713"/>
            <a:ext cx="356947" cy="848"/>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313" name="Straight Arrow Connector 312">
            <a:extLst>
              <a:ext uri="{FF2B5EF4-FFF2-40B4-BE49-F238E27FC236}">
                <a16:creationId xmlns:a16="http://schemas.microsoft.com/office/drawing/2014/main" id="{00000000-0008-0000-0100-000039010000}"/>
              </a:ext>
            </a:extLst>
          </xdr:cNvPr>
          <xdr:cNvCxnSpPr/>
        </xdr:nvCxnSpPr>
        <xdr:spPr>
          <a:xfrm>
            <a:off x="13068667" y="10007217"/>
            <a:ext cx="324978"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14" name="Rectangle 313">
            <a:extLst>
              <a:ext uri="{FF2B5EF4-FFF2-40B4-BE49-F238E27FC236}">
                <a16:creationId xmlns:a16="http://schemas.microsoft.com/office/drawing/2014/main" id="{00000000-0008-0000-0100-00003A010000}"/>
              </a:ext>
            </a:extLst>
          </xdr:cNvPr>
          <xdr:cNvSpPr>
            <a:spLocks noChangeAspect="1"/>
          </xdr:cNvSpPr>
        </xdr:nvSpPr>
        <xdr:spPr>
          <a:xfrm>
            <a:off x="12990912" y="9778666"/>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15" name="Rectangle 314">
            <a:extLst>
              <a:ext uri="{FF2B5EF4-FFF2-40B4-BE49-F238E27FC236}">
                <a16:creationId xmlns:a16="http://schemas.microsoft.com/office/drawing/2014/main" id="{00000000-0008-0000-0100-00003B010000}"/>
              </a:ext>
            </a:extLst>
          </xdr:cNvPr>
          <xdr:cNvSpPr>
            <a:spLocks noChangeAspect="1"/>
          </xdr:cNvSpPr>
        </xdr:nvSpPr>
        <xdr:spPr>
          <a:xfrm>
            <a:off x="12989092" y="9963120"/>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16" name="Rectangle 315">
            <a:extLst>
              <a:ext uri="{FF2B5EF4-FFF2-40B4-BE49-F238E27FC236}">
                <a16:creationId xmlns:a16="http://schemas.microsoft.com/office/drawing/2014/main" id="{00000000-0008-0000-0100-00003C010000}"/>
              </a:ext>
            </a:extLst>
          </xdr:cNvPr>
          <xdr:cNvSpPr>
            <a:spLocks noChangeAspect="1"/>
          </xdr:cNvSpPr>
        </xdr:nvSpPr>
        <xdr:spPr>
          <a:xfrm>
            <a:off x="12989887" y="10127603"/>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xnSp macro="">
        <xdr:nvCxnSpPr>
          <xdr:cNvPr id="318" name="Straight Arrow Connector 317">
            <a:extLst>
              <a:ext uri="{FF2B5EF4-FFF2-40B4-BE49-F238E27FC236}">
                <a16:creationId xmlns:a16="http://schemas.microsoft.com/office/drawing/2014/main" id="{00000000-0008-0000-0100-00003E010000}"/>
              </a:ext>
            </a:extLst>
          </xdr:cNvPr>
          <xdr:cNvCxnSpPr/>
        </xdr:nvCxnSpPr>
        <xdr:spPr>
          <a:xfrm>
            <a:off x="13024772" y="10349160"/>
            <a:ext cx="355944" cy="848"/>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15</xdr:col>
          <xdr:colOff>7620</xdr:colOff>
          <xdr:row>61</xdr:row>
          <xdr:rowOff>0</xdr:rowOff>
        </xdr:from>
        <xdr:to>
          <xdr:col>15</xdr:col>
          <xdr:colOff>160020</xdr:colOff>
          <xdr:row>61</xdr:row>
          <xdr:rowOff>152400</xdr:rowOff>
        </xdr:to>
        <xdr:sp macro="" textlink="">
          <xdr:nvSpPr>
            <xdr:cNvPr id="1120" name="Object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228820</xdr:colOff>
      <xdr:row>41</xdr:row>
      <xdr:rowOff>41405</xdr:rowOff>
    </xdr:from>
    <xdr:to>
      <xdr:col>24</xdr:col>
      <xdr:colOff>3018</xdr:colOff>
      <xdr:row>42</xdr:row>
      <xdr:rowOff>89956</xdr:rowOff>
    </xdr:to>
    <xdr:grpSp>
      <xdr:nvGrpSpPr>
        <xdr:cNvPr id="27" name="V3.3ALSOFF2_group" hidden="1">
          <a:extLst>
            <a:ext uri="{FF2B5EF4-FFF2-40B4-BE49-F238E27FC236}">
              <a16:creationId xmlns:a16="http://schemas.microsoft.com/office/drawing/2014/main" id="{00000000-0008-0000-0100-00001B000000}"/>
            </a:ext>
          </a:extLst>
        </xdr:cNvPr>
        <xdr:cNvGrpSpPr/>
      </xdr:nvGrpSpPr>
      <xdr:grpSpPr>
        <a:xfrm>
          <a:off x="14198820" y="7314272"/>
          <a:ext cx="383798" cy="217884"/>
          <a:chOff x="13035863" y="7677734"/>
          <a:chExt cx="367469" cy="222722"/>
        </a:xfrm>
      </xdr:grpSpPr>
      <xdr:sp macro="" textlink="">
        <xdr:nvSpPr>
          <xdr:cNvPr id="306" name="Rectangle 305" hidden="1">
            <a:extLst>
              <a:ext uri="{FF2B5EF4-FFF2-40B4-BE49-F238E27FC236}">
                <a16:creationId xmlns:a16="http://schemas.microsoft.com/office/drawing/2014/main" id="{00000000-0008-0000-0100-000032010000}"/>
              </a:ext>
            </a:extLst>
          </xdr:cNvPr>
          <xdr:cNvSpPr>
            <a:spLocks noChangeAspect="1"/>
          </xdr:cNvSpPr>
        </xdr:nvSpPr>
        <xdr:spPr>
          <a:xfrm>
            <a:off x="13035863" y="7677734"/>
            <a:ext cx="91440" cy="90899"/>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27" name="Freeform 326" hidden="1">
            <a:extLst>
              <a:ext uri="{FF2B5EF4-FFF2-40B4-BE49-F238E27FC236}">
                <a16:creationId xmlns:a16="http://schemas.microsoft.com/office/drawing/2014/main" id="{00000000-0008-0000-0100-000047010000}"/>
              </a:ext>
            </a:extLst>
          </xdr:cNvPr>
          <xdr:cNvSpPr/>
        </xdr:nvSpPr>
        <xdr:spPr>
          <a:xfrm>
            <a:off x="13079804" y="7768695"/>
            <a:ext cx="323528" cy="131761"/>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244079</xdr:colOff>
      <xdr:row>44</xdr:row>
      <xdr:rowOff>88232</xdr:rowOff>
    </xdr:from>
    <xdr:to>
      <xdr:col>15</xdr:col>
      <xdr:colOff>8456</xdr:colOff>
      <xdr:row>45</xdr:row>
      <xdr:rowOff>75319</xdr:rowOff>
    </xdr:to>
    <xdr:sp macro="" textlink="">
      <xdr:nvSpPr>
        <xdr:cNvPr id="338" name="Freeform 337">
          <a:extLst>
            <a:ext uri="{FF2B5EF4-FFF2-40B4-BE49-F238E27FC236}">
              <a16:creationId xmlns:a16="http://schemas.microsoft.com/office/drawing/2014/main" id="{00000000-0008-0000-0100-000052010000}"/>
            </a:ext>
          </a:extLst>
        </xdr:cNvPr>
        <xdr:cNvSpPr/>
      </xdr:nvSpPr>
      <xdr:spPr>
        <a:xfrm>
          <a:off x="8694659" y="7624412"/>
          <a:ext cx="373977" cy="490007"/>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219482</xdr:colOff>
      <xdr:row>44</xdr:row>
      <xdr:rowOff>71443</xdr:rowOff>
    </xdr:from>
    <xdr:to>
      <xdr:col>15</xdr:col>
      <xdr:colOff>431</xdr:colOff>
      <xdr:row>44</xdr:row>
      <xdr:rowOff>71443</xdr:rowOff>
    </xdr:to>
    <xdr:cxnSp macro="">
      <xdr:nvCxnSpPr>
        <xdr:cNvPr id="346" name="Straight Arrow Connector 345">
          <a:extLst>
            <a:ext uri="{FF2B5EF4-FFF2-40B4-BE49-F238E27FC236}">
              <a16:creationId xmlns:a16="http://schemas.microsoft.com/office/drawing/2014/main" id="{00000000-0008-0000-0100-00005A010000}"/>
            </a:ext>
          </a:extLst>
        </xdr:cNvPr>
        <xdr:cNvCxnSpPr/>
      </xdr:nvCxnSpPr>
      <xdr:spPr>
        <a:xfrm>
          <a:off x="8668157" y="7572381"/>
          <a:ext cx="39054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196712</xdr:colOff>
      <xdr:row>44</xdr:row>
      <xdr:rowOff>24267</xdr:rowOff>
    </xdr:from>
    <xdr:to>
      <xdr:col>14</xdr:col>
      <xdr:colOff>290936</xdr:colOff>
      <xdr:row>44</xdr:row>
      <xdr:rowOff>113255</xdr:rowOff>
    </xdr:to>
    <xdr:sp macro="" textlink="">
      <xdr:nvSpPr>
        <xdr:cNvPr id="296" name="Rectangle 295">
          <a:extLst>
            <a:ext uri="{FF2B5EF4-FFF2-40B4-BE49-F238E27FC236}">
              <a16:creationId xmlns:a16="http://schemas.microsoft.com/office/drawing/2014/main" id="{00000000-0008-0000-0100-000028010000}"/>
            </a:ext>
          </a:extLst>
        </xdr:cNvPr>
        <xdr:cNvSpPr>
          <a:spLocks noChangeAspect="1"/>
        </xdr:cNvSpPr>
      </xdr:nvSpPr>
      <xdr:spPr>
        <a:xfrm>
          <a:off x="8645387" y="7525205"/>
          <a:ext cx="94224" cy="88988"/>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13322</xdr:colOff>
      <xdr:row>45</xdr:row>
      <xdr:rowOff>94054</xdr:rowOff>
    </xdr:from>
    <xdr:to>
      <xdr:col>24</xdr:col>
      <xdr:colOff>3018</xdr:colOff>
      <xdr:row>45</xdr:row>
      <xdr:rowOff>94054</xdr:rowOff>
    </xdr:to>
    <xdr:cxnSp macro="">
      <xdr:nvCxnSpPr>
        <xdr:cNvPr id="58" name="Straight Arrow Connector 57">
          <a:extLst>
            <a:ext uri="{FF2B5EF4-FFF2-40B4-BE49-F238E27FC236}">
              <a16:creationId xmlns:a16="http://schemas.microsoft.com/office/drawing/2014/main" id="{00000000-0008-0000-0100-00003A000000}"/>
            </a:ext>
          </a:extLst>
        </xdr:cNvPr>
        <xdr:cNvCxnSpPr/>
      </xdr:nvCxnSpPr>
      <xdr:spPr>
        <a:xfrm>
          <a:off x="13173062" y="8803714"/>
          <a:ext cx="59929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15</xdr:col>
          <xdr:colOff>0</xdr:colOff>
          <xdr:row>45</xdr:row>
          <xdr:rowOff>0</xdr:rowOff>
        </xdr:from>
        <xdr:to>
          <xdr:col>15</xdr:col>
          <xdr:colOff>160020</xdr:colOff>
          <xdr:row>45</xdr:row>
          <xdr:rowOff>152400</xdr:rowOff>
        </xdr:to>
        <xdr:sp macro="" textlink="">
          <xdr:nvSpPr>
            <xdr:cNvPr id="1090" name="Object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45</xdr:row>
          <xdr:rowOff>0</xdr:rowOff>
        </xdr:from>
        <xdr:to>
          <xdr:col>15</xdr:col>
          <xdr:colOff>160020</xdr:colOff>
          <xdr:row>45</xdr:row>
          <xdr:rowOff>152400</xdr:rowOff>
        </xdr:to>
        <xdr:sp macro="" textlink="">
          <xdr:nvSpPr>
            <xdr:cNvPr id="1091" name="Object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242455</xdr:colOff>
      <xdr:row>58</xdr:row>
      <xdr:rowOff>136071</xdr:rowOff>
    </xdr:from>
    <xdr:to>
      <xdr:col>15</xdr:col>
      <xdr:colOff>8456</xdr:colOff>
      <xdr:row>59</xdr:row>
      <xdr:rowOff>64944</xdr:rowOff>
    </xdr:to>
    <xdr:sp macro="" textlink="">
      <xdr:nvSpPr>
        <xdr:cNvPr id="340" name="Freeform 339" hidden="1">
          <a:extLst>
            <a:ext uri="{FF2B5EF4-FFF2-40B4-BE49-F238E27FC236}">
              <a16:creationId xmlns:a16="http://schemas.microsoft.com/office/drawing/2014/main" id="{00000000-0008-0000-0100-000054010000}"/>
            </a:ext>
          </a:extLst>
        </xdr:cNvPr>
        <xdr:cNvSpPr/>
      </xdr:nvSpPr>
      <xdr:spPr>
        <a:xfrm>
          <a:off x="8433955" y="10674185"/>
          <a:ext cx="354819" cy="102054"/>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274320</xdr:colOff>
      <xdr:row>15</xdr:row>
      <xdr:rowOff>90919</xdr:rowOff>
    </xdr:from>
    <xdr:to>
      <xdr:col>24</xdr:col>
      <xdr:colOff>3018</xdr:colOff>
      <xdr:row>16</xdr:row>
      <xdr:rowOff>53577</xdr:rowOff>
    </xdr:to>
    <xdr:sp macro="" textlink="">
      <xdr:nvSpPr>
        <xdr:cNvPr id="341" name="Freeform 340">
          <a:extLst>
            <a:ext uri="{FF2B5EF4-FFF2-40B4-BE49-F238E27FC236}">
              <a16:creationId xmlns:a16="http://schemas.microsoft.com/office/drawing/2014/main" id="{00000000-0008-0000-0100-000055010000}"/>
            </a:ext>
          </a:extLst>
        </xdr:cNvPr>
        <xdr:cNvSpPr/>
      </xdr:nvSpPr>
      <xdr:spPr>
        <a:xfrm flipV="1">
          <a:off x="13072912" y="2843143"/>
          <a:ext cx="320251" cy="133105"/>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270001</xdr:colOff>
      <xdr:row>32</xdr:row>
      <xdr:rowOff>125330</xdr:rowOff>
    </xdr:from>
    <xdr:to>
      <xdr:col>24</xdr:col>
      <xdr:colOff>3018</xdr:colOff>
      <xdr:row>33</xdr:row>
      <xdr:rowOff>0</xdr:rowOff>
    </xdr:to>
    <xdr:sp macro="" textlink="">
      <xdr:nvSpPr>
        <xdr:cNvPr id="351" name="Freeform 350" hidden="1">
          <a:extLst>
            <a:ext uri="{FF2B5EF4-FFF2-40B4-BE49-F238E27FC236}">
              <a16:creationId xmlns:a16="http://schemas.microsoft.com/office/drawing/2014/main" id="{00000000-0008-0000-0100-00005F010000}"/>
            </a:ext>
          </a:extLst>
        </xdr:cNvPr>
        <xdr:cNvSpPr/>
      </xdr:nvSpPr>
      <xdr:spPr>
        <a:xfrm>
          <a:off x="13042160" y="6013512"/>
          <a:ext cx="321835" cy="112795"/>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228820</xdr:colOff>
      <xdr:row>16</xdr:row>
      <xdr:rowOff>46640</xdr:rowOff>
    </xdr:from>
    <xdr:to>
      <xdr:col>23</xdr:col>
      <xdr:colOff>320367</xdr:colOff>
      <xdr:row>16</xdr:row>
      <xdr:rowOff>137890</xdr:rowOff>
    </xdr:to>
    <xdr:sp macro="" textlink="">
      <xdr:nvSpPr>
        <xdr:cNvPr id="198" name="Rectangle 197">
          <a:extLst>
            <a:ext uri="{FF2B5EF4-FFF2-40B4-BE49-F238E27FC236}">
              <a16:creationId xmlns:a16="http://schemas.microsoft.com/office/drawing/2014/main" id="{00000000-0008-0000-0100-0000C6000000}"/>
            </a:ext>
          </a:extLst>
        </xdr:cNvPr>
        <xdr:cNvSpPr>
          <a:spLocks noChangeAspect="1"/>
        </xdr:cNvSpPr>
      </xdr:nvSpPr>
      <xdr:spPr>
        <a:xfrm>
          <a:off x="13506670" y="2880328"/>
          <a:ext cx="91547" cy="9125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274373</xdr:colOff>
      <xdr:row>16</xdr:row>
      <xdr:rowOff>142875</xdr:rowOff>
    </xdr:from>
    <xdr:to>
      <xdr:col>24</xdr:col>
      <xdr:colOff>3018</xdr:colOff>
      <xdr:row>17</xdr:row>
      <xdr:rowOff>96015</xdr:rowOff>
    </xdr:to>
    <xdr:sp macro="" textlink="">
      <xdr:nvSpPr>
        <xdr:cNvPr id="269" name="VCCSFR_OC_group" hidden="1">
          <a:extLst>
            <a:ext uri="{FF2B5EF4-FFF2-40B4-BE49-F238E27FC236}">
              <a16:creationId xmlns:a16="http://schemas.microsoft.com/office/drawing/2014/main" id="{00000000-0008-0000-0100-00000D010000}"/>
            </a:ext>
          </a:extLst>
        </xdr:cNvPr>
        <xdr:cNvSpPr/>
      </xdr:nvSpPr>
      <xdr:spPr>
        <a:xfrm>
          <a:off x="13180748" y="3219450"/>
          <a:ext cx="319195" cy="124590"/>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228820</xdr:colOff>
      <xdr:row>42</xdr:row>
      <xdr:rowOff>50180</xdr:rowOff>
    </xdr:from>
    <xdr:to>
      <xdr:col>24</xdr:col>
      <xdr:colOff>4422</xdr:colOff>
      <xdr:row>54</xdr:row>
      <xdr:rowOff>72883</xdr:rowOff>
    </xdr:to>
    <xdr:grpSp>
      <xdr:nvGrpSpPr>
        <xdr:cNvPr id="68" name="V3.3_Volume_group" hidden="1">
          <a:extLst>
            <a:ext uri="{FF2B5EF4-FFF2-40B4-BE49-F238E27FC236}">
              <a16:creationId xmlns:a16="http://schemas.microsoft.com/office/drawing/2014/main" id="{00000000-0008-0000-0100-000044000000}"/>
            </a:ext>
          </a:extLst>
        </xdr:cNvPr>
        <xdr:cNvGrpSpPr/>
      </xdr:nvGrpSpPr>
      <xdr:grpSpPr>
        <a:xfrm>
          <a:off x="14198820" y="7492380"/>
          <a:ext cx="385202" cy="2054703"/>
          <a:chOff x="13006259" y="7772400"/>
          <a:chExt cx="365687" cy="2085678"/>
        </a:xfrm>
      </xdr:grpSpPr>
      <xdr:cxnSp macro="">
        <xdr:nvCxnSpPr>
          <xdr:cNvPr id="273" name="Straight Arrow Connector 272" hidden="1">
            <a:extLst>
              <a:ext uri="{FF2B5EF4-FFF2-40B4-BE49-F238E27FC236}">
                <a16:creationId xmlns:a16="http://schemas.microsoft.com/office/drawing/2014/main" id="{00000000-0008-0000-0100-000011010000}"/>
              </a:ext>
            </a:extLst>
          </xdr:cNvPr>
          <xdr:cNvCxnSpPr/>
        </xdr:nvCxnSpPr>
        <xdr:spPr>
          <a:xfrm>
            <a:off x="13049720" y="8840340"/>
            <a:ext cx="320822"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92" name="Straight Arrow Connector 291" hidden="1">
            <a:extLst>
              <a:ext uri="{FF2B5EF4-FFF2-40B4-BE49-F238E27FC236}">
                <a16:creationId xmlns:a16="http://schemas.microsoft.com/office/drawing/2014/main" id="{00000000-0008-0000-0100-000024010000}"/>
              </a:ext>
            </a:extLst>
          </xdr:cNvPr>
          <xdr:cNvCxnSpPr/>
        </xdr:nvCxnSpPr>
        <xdr:spPr>
          <a:xfrm>
            <a:off x="13049720" y="9012292"/>
            <a:ext cx="320822"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95" name="Straight Arrow Connector 294" hidden="1">
            <a:extLst>
              <a:ext uri="{FF2B5EF4-FFF2-40B4-BE49-F238E27FC236}">
                <a16:creationId xmlns:a16="http://schemas.microsoft.com/office/drawing/2014/main" id="{00000000-0008-0000-0100-000027010000}"/>
              </a:ext>
            </a:extLst>
          </xdr:cNvPr>
          <xdr:cNvCxnSpPr/>
        </xdr:nvCxnSpPr>
        <xdr:spPr>
          <a:xfrm>
            <a:off x="13049720" y="9184244"/>
            <a:ext cx="320822"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97" name="Straight Arrow Connector 296" hidden="1">
            <a:extLst>
              <a:ext uri="{FF2B5EF4-FFF2-40B4-BE49-F238E27FC236}">
                <a16:creationId xmlns:a16="http://schemas.microsoft.com/office/drawing/2014/main" id="{00000000-0008-0000-0100-000029010000}"/>
              </a:ext>
            </a:extLst>
          </xdr:cNvPr>
          <xdr:cNvCxnSpPr/>
        </xdr:nvCxnSpPr>
        <xdr:spPr>
          <a:xfrm>
            <a:off x="13049720" y="9356194"/>
            <a:ext cx="32047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98" name="Straight Arrow Connector 297" hidden="1">
            <a:extLst>
              <a:ext uri="{FF2B5EF4-FFF2-40B4-BE49-F238E27FC236}">
                <a16:creationId xmlns:a16="http://schemas.microsoft.com/office/drawing/2014/main" id="{00000000-0008-0000-0100-00002A010000}"/>
              </a:ext>
            </a:extLst>
          </xdr:cNvPr>
          <xdr:cNvCxnSpPr/>
        </xdr:nvCxnSpPr>
        <xdr:spPr>
          <a:xfrm>
            <a:off x="13049720" y="9528146"/>
            <a:ext cx="32047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300" name="Straight Arrow Connector 299" hidden="1">
            <a:extLst>
              <a:ext uri="{FF2B5EF4-FFF2-40B4-BE49-F238E27FC236}">
                <a16:creationId xmlns:a16="http://schemas.microsoft.com/office/drawing/2014/main" id="{00000000-0008-0000-0100-00002C010000}"/>
              </a:ext>
            </a:extLst>
          </xdr:cNvPr>
          <xdr:cNvCxnSpPr/>
        </xdr:nvCxnSpPr>
        <xdr:spPr>
          <a:xfrm>
            <a:off x="13049720" y="9700095"/>
            <a:ext cx="32047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76" name="Straight Arrow Connector 275" hidden="1">
            <a:extLst>
              <a:ext uri="{FF2B5EF4-FFF2-40B4-BE49-F238E27FC236}">
                <a16:creationId xmlns:a16="http://schemas.microsoft.com/office/drawing/2014/main" id="{00000000-0008-0000-0100-000014010000}"/>
              </a:ext>
            </a:extLst>
          </xdr:cNvPr>
          <xdr:cNvCxnSpPr>
            <a:stCxn id="289" idx="2"/>
            <a:endCxn id="301" idx="0"/>
          </xdr:cNvCxnSpPr>
        </xdr:nvCxnSpPr>
        <xdr:spPr>
          <a:xfrm flipV="1">
            <a:off x="13051979" y="8621897"/>
            <a:ext cx="0" cy="1118302"/>
          </a:xfrm>
          <a:prstGeom prst="straightConnector1">
            <a:avLst/>
          </a:prstGeom>
          <a:ln w="381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284" name="Rectangle 283" hidden="1">
            <a:extLst>
              <a:ext uri="{FF2B5EF4-FFF2-40B4-BE49-F238E27FC236}">
                <a16:creationId xmlns:a16="http://schemas.microsoft.com/office/drawing/2014/main" id="{00000000-0008-0000-0100-00001C010000}"/>
              </a:ext>
            </a:extLst>
          </xdr:cNvPr>
          <xdr:cNvSpPr>
            <a:spLocks noChangeAspect="1"/>
          </xdr:cNvSpPr>
        </xdr:nvSpPr>
        <xdr:spPr>
          <a:xfrm>
            <a:off x="13006259" y="8789963"/>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85" name="Rectangle 284" hidden="1">
            <a:extLst>
              <a:ext uri="{FF2B5EF4-FFF2-40B4-BE49-F238E27FC236}">
                <a16:creationId xmlns:a16="http://schemas.microsoft.com/office/drawing/2014/main" id="{00000000-0008-0000-0100-00001D010000}"/>
              </a:ext>
            </a:extLst>
          </xdr:cNvPr>
          <xdr:cNvSpPr>
            <a:spLocks noChangeAspect="1"/>
          </xdr:cNvSpPr>
        </xdr:nvSpPr>
        <xdr:spPr>
          <a:xfrm>
            <a:off x="13006259" y="8961915"/>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86" name="Rectangle 285" hidden="1">
            <a:extLst>
              <a:ext uri="{FF2B5EF4-FFF2-40B4-BE49-F238E27FC236}">
                <a16:creationId xmlns:a16="http://schemas.microsoft.com/office/drawing/2014/main" id="{00000000-0008-0000-0100-00001E010000}"/>
              </a:ext>
            </a:extLst>
          </xdr:cNvPr>
          <xdr:cNvSpPr>
            <a:spLocks noChangeAspect="1"/>
          </xdr:cNvSpPr>
        </xdr:nvSpPr>
        <xdr:spPr>
          <a:xfrm>
            <a:off x="13006259" y="9133867"/>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87" name="Rectangle 286" hidden="1">
            <a:extLst>
              <a:ext uri="{FF2B5EF4-FFF2-40B4-BE49-F238E27FC236}">
                <a16:creationId xmlns:a16="http://schemas.microsoft.com/office/drawing/2014/main" id="{00000000-0008-0000-0100-00001F010000}"/>
              </a:ext>
            </a:extLst>
          </xdr:cNvPr>
          <xdr:cNvSpPr>
            <a:spLocks noChangeAspect="1"/>
          </xdr:cNvSpPr>
        </xdr:nvSpPr>
        <xdr:spPr>
          <a:xfrm>
            <a:off x="13006259" y="9305817"/>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88" name="Rectangle 287" hidden="1">
            <a:extLst>
              <a:ext uri="{FF2B5EF4-FFF2-40B4-BE49-F238E27FC236}">
                <a16:creationId xmlns:a16="http://schemas.microsoft.com/office/drawing/2014/main" id="{00000000-0008-0000-0100-000020010000}"/>
              </a:ext>
            </a:extLst>
          </xdr:cNvPr>
          <xdr:cNvSpPr>
            <a:spLocks noChangeAspect="1"/>
          </xdr:cNvSpPr>
        </xdr:nvSpPr>
        <xdr:spPr>
          <a:xfrm>
            <a:off x="13006259" y="9477769"/>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89" name="Rectangle 288" hidden="1">
            <a:extLst>
              <a:ext uri="{FF2B5EF4-FFF2-40B4-BE49-F238E27FC236}">
                <a16:creationId xmlns:a16="http://schemas.microsoft.com/office/drawing/2014/main" id="{00000000-0008-0000-0100-000021010000}"/>
              </a:ext>
            </a:extLst>
          </xdr:cNvPr>
          <xdr:cNvSpPr>
            <a:spLocks noChangeAspect="1"/>
          </xdr:cNvSpPr>
        </xdr:nvSpPr>
        <xdr:spPr>
          <a:xfrm>
            <a:off x="13006259" y="9649718"/>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01" name="Rectangle 300" hidden="1">
            <a:extLst>
              <a:ext uri="{FF2B5EF4-FFF2-40B4-BE49-F238E27FC236}">
                <a16:creationId xmlns:a16="http://schemas.microsoft.com/office/drawing/2014/main" id="{00000000-0008-0000-0100-00002D010000}"/>
              </a:ext>
            </a:extLst>
          </xdr:cNvPr>
          <xdr:cNvSpPr>
            <a:spLocks noChangeAspect="1"/>
          </xdr:cNvSpPr>
        </xdr:nvSpPr>
        <xdr:spPr>
          <a:xfrm>
            <a:off x="13006259" y="8621897"/>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02" name="Freeform 301" hidden="1">
            <a:extLst>
              <a:ext uri="{FF2B5EF4-FFF2-40B4-BE49-F238E27FC236}">
                <a16:creationId xmlns:a16="http://schemas.microsoft.com/office/drawing/2014/main" id="{00000000-0008-0000-0100-00002E010000}"/>
              </a:ext>
            </a:extLst>
          </xdr:cNvPr>
          <xdr:cNvSpPr/>
        </xdr:nvSpPr>
        <xdr:spPr>
          <a:xfrm>
            <a:off x="13053163" y="9748636"/>
            <a:ext cx="318783" cy="109442"/>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Freeform 302" hidden="1">
            <a:extLst>
              <a:ext uri="{FF2B5EF4-FFF2-40B4-BE49-F238E27FC236}">
                <a16:creationId xmlns:a16="http://schemas.microsoft.com/office/drawing/2014/main" id="{00000000-0008-0000-0100-00002F010000}"/>
              </a:ext>
            </a:extLst>
          </xdr:cNvPr>
          <xdr:cNvSpPr/>
        </xdr:nvSpPr>
        <xdr:spPr>
          <a:xfrm>
            <a:off x="13050200" y="7857577"/>
            <a:ext cx="320342" cy="129503"/>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8" name="Rectangle 267" hidden="1">
            <a:extLst>
              <a:ext uri="{FF2B5EF4-FFF2-40B4-BE49-F238E27FC236}">
                <a16:creationId xmlns:a16="http://schemas.microsoft.com/office/drawing/2014/main" id="{00000000-0008-0000-0100-00000C010000}"/>
              </a:ext>
            </a:extLst>
          </xdr:cNvPr>
          <xdr:cNvSpPr>
            <a:spLocks noChangeAspect="1"/>
          </xdr:cNvSpPr>
        </xdr:nvSpPr>
        <xdr:spPr>
          <a:xfrm>
            <a:off x="13006259" y="7772400"/>
            <a:ext cx="91440" cy="9048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5588</xdr:colOff>
      <xdr:row>57</xdr:row>
      <xdr:rowOff>84710</xdr:rowOff>
    </xdr:from>
    <xdr:to>
      <xdr:col>24</xdr:col>
      <xdr:colOff>3018</xdr:colOff>
      <xdr:row>57</xdr:row>
      <xdr:rowOff>86528</xdr:rowOff>
    </xdr:to>
    <xdr:cxnSp macro="">
      <xdr:nvCxnSpPr>
        <xdr:cNvPr id="80" name="Straight Arrow Connector 79">
          <a:extLst>
            <a:ext uri="{FF2B5EF4-FFF2-40B4-BE49-F238E27FC236}">
              <a16:creationId xmlns:a16="http://schemas.microsoft.com/office/drawing/2014/main" id="{00000000-0008-0000-0100-000050000000}"/>
            </a:ext>
          </a:extLst>
        </xdr:cNvPr>
        <xdr:cNvCxnSpPr/>
      </xdr:nvCxnSpPr>
      <xdr:spPr>
        <a:xfrm>
          <a:off x="13168135" y="10684531"/>
          <a:ext cx="607030" cy="1818"/>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196936</xdr:colOff>
      <xdr:row>56</xdr:row>
      <xdr:rowOff>41780</xdr:rowOff>
    </xdr:from>
    <xdr:to>
      <xdr:col>14</xdr:col>
      <xdr:colOff>290776</xdr:colOff>
      <xdr:row>56</xdr:row>
      <xdr:rowOff>130908</xdr:rowOff>
    </xdr:to>
    <xdr:sp macro="" textlink="">
      <xdr:nvSpPr>
        <xdr:cNvPr id="119" name="Rectangle 118">
          <a:extLst>
            <a:ext uri="{FF2B5EF4-FFF2-40B4-BE49-F238E27FC236}">
              <a16:creationId xmlns:a16="http://schemas.microsoft.com/office/drawing/2014/main" id="{00000000-0008-0000-0100-000077000000}"/>
            </a:ext>
          </a:extLst>
        </xdr:cNvPr>
        <xdr:cNvSpPr>
          <a:spLocks noChangeAspect="1"/>
        </xdr:cNvSpPr>
      </xdr:nvSpPr>
      <xdr:spPr>
        <a:xfrm>
          <a:off x="8650654" y="10584274"/>
          <a:ext cx="93840" cy="89128"/>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0</xdr:colOff>
          <xdr:row>57</xdr:row>
          <xdr:rowOff>0</xdr:rowOff>
        </xdr:from>
        <xdr:to>
          <xdr:col>15</xdr:col>
          <xdr:colOff>160020</xdr:colOff>
          <xdr:row>57</xdr:row>
          <xdr:rowOff>152400</xdr:rowOff>
        </xdr:to>
        <xdr:sp macro="" textlink="">
          <xdr:nvSpPr>
            <xdr:cNvPr id="1059" name="Object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228820</xdr:colOff>
      <xdr:row>32</xdr:row>
      <xdr:rowOff>30141</xdr:rowOff>
    </xdr:from>
    <xdr:to>
      <xdr:col>24</xdr:col>
      <xdr:colOff>3018</xdr:colOff>
      <xdr:row>33</xdr:row>
      <xdr:rowOff>0</xdr:rowOff>
    </xdr:to>
    <xdr:grpSp>
      <xdr:nvGrpSpPr>
        <xdr:cNvPr id="76" name="V1.8_Volume_group" hidden="1">
          <a:extLst>
            <a:ext uri="{FF2B5EF4-FFF2-40B4-BE49-F238E27FC236}">
              <a16:creationId xmlns:a16="http://schemas.microsoft.com/office/drawing/2014/main" id="{00000000-0008-0000-0100-00004C000000}"/>
            </a:ext>
          </a:extLst>
        </xdr:cNvPr>
        <xdr:cNvGrpSpPr/>
      </xdr:nvGrpSpPr>
      <xdr:grpSpPr>
        <a:xfrm>
          <a:off x="14198820" y="5779008"/>
          <a:ext cx="383798" cy="139192"/>
          <a:chOff x="13006259" y="5879885"/>
          <a:chExt cx="364283" cy="211726"/>
        </a:xfrm>
      </xdr:grpSpPr>
      <xdr:sp macro="" textlink="">
        <xdr:nvSpPr>
          <xdr:cNvPr id="299" name="Rectangle 298" hidden="1">
            <a:extLst>
              <a:ext uri="{FF2B5EF4-FFF2-40B4-BE49-F238E27FC236}">
                <a16:creationId xmlns:a16="http://schemas.microsoft.com/office/drawing/2014/main" id="{00000000-0008-0000-0100-00002B010000}"/>
              </a:ext>
            </a:extLst>
          </xdr:cNvPr>
          <xdr:cNvSpPr>
            <a:spLocks noChangeAspect="1"/>
          </xdr:cNvSpPr>
        </xdr:nvSpPr>
        <xdr:spPr>
          <a:xfrm>
            <a:off x="13006259" y="5879885"/>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  </a:t>
            </a:r>
          </a:p>
        </xdr:txBody>
      </xdr:sp>
      <xdr:sp macro="" textlink="">
        <xdr:nvSpPr>
          <xdr:cNvPr id="264" name="Freeform 263" hidden="1">
            <a:extLst>
              <a:ext uri="{FF2B5EF4-FFF2-40B4-BE49-F238E27FC236}">
                <a16:creationId xmlns:a16="http://schemas.microsoft.com/office/drawing/2014/main" id="{00000000-0008-0000-0100-000008010000}"/>
              </a:ext>
            </a:extLst>
          </xdr:cNvPr>
          <xdr:cNvSpPr/>
        </xdr:nvSpPr>
        <xdr:spPr>
          <a:xfrm>
            <a:off x="13051759" y="5975198"/>
            <a:ext cx="318783" cy="116413"/>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15</xdr:col>
          <xdr:colOff>7620</xdr:colOff>
          <xdr:row>61</xdr:row>
          <xdr:rowOff>0</xdr:rowOff>
        </xdr:from>
        <xdr:to>
          <xdr:col>15</xdr:col>
          <xdr:colOff>160020</xdr:colOff>
          <xdr:row>61</xdr:row>
          <xdr:rowOff>152400</xdr:rowOff>
        </xdr:to>
        <xdr:sp macro="" textlink="">
          <xdr:nvSpPr>
            <xdr:cNvPr id="1138" name="Object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169838</xdr:colOff>
      <xdr:row>23</xdr:row>
      <xdr:rowOff>29765</xdr:rowOff>
    </xdr:from>
    <xdr:to>
      <xdr:col>6</xdr:col>
      <xdr:colOff>261278</xdr:colOff>
      <xdr:row>23</xdr:row>
      <xdr:rowOff>121205</xdr:rowOff>
    </xdr:to>
    <xdr:sp macro="" textlink="">
      <xdr:nvSpPr>
        <xdr:cNvPr id="266" name="Rectangle 265">
          <a:extLst>
            <a:ext uri="{FF2B5EF4-FFF2-40B4-BE49-F238E27FC236}">
              <a16:creationId xmlns:a16="http://schemas.microsoft.com/office/drawing/2014/main" id="{00000000-0008-0000-0100-00000A010000}"/>
            </a:ext>
          </a:extLst>
        </xdr:cNvPr>
        <xdr:cNvSpPr>
          <a:spLocks noChangeAspect="1"/>
        </xdr:cNvSpPr>
      </xdr:nvSpPr>
      <xdr:spPr>
        <a:xfrm>
          <a:off x="3283322" y="4530328"/>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243701</xdr:colOff>
      <xdr:row>23</xdr:row>
      <xdr:rowOff>89210</xdr:rowOff>
    </xdr:from>
    <xdr:to>
      <xdr:col>15</xdr:col>
      <xdr:colOff>1418</xdr:colOff>
      <xdr:row>29</xdr:row>
      <xdr:rowOff>74341</xdr:rowOff>
    </xdr:to>
    <xdr:sp macro="" textlink="">
      <xdr:nvSpPr>
        <xdr:cNvPr id="372" name="Freeform 371">
          <a:extLst>
            <a:ext uri="{FF2B5EF4-FFF2-40B4-BE49-F238E27FC236}">
              <a16:creationId xmlns:a16="http://schemas.microsoft.com/office/drawing/2014/main" id="{00000000-0008-0000-0100-000074010000}"/>
            </a:ext>
          </a:extLst>
        </xdr:cNvPr>
        <xdr:cNvSpPr/>
      </xdr:nvSpPr>
      <xdr:spPr>
        <a:xfrm>
          <a:off x="8688891" y="4099932"/>
          <a:ext cx="367317" cy="988741"/>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200838</xdr:colOff>
      <xdr:row>23</xdr:row>
      <xdr:rowOff>40702</xdr:rowOff>
    </xdr:from>
    <xdr:to>
      <xdr:col>14</xdr:col>
      <xdr:colOff>292278</xdr:colOff>
      <xdr:row>23</xdr:row>
      <xdr:rowOff>132142</xdr:rowOff>
    </xdr:to>
    <xdr:sp macro="" textlink="">
      <xdr:nvSpPr>
        <xdr:cNvPr id="122" name="Rectangle 121">
          <a:extLst>
            <a:ext uri="{FF2B5EF4-FFF2-40B4-BE49-F238E27FC236}">
              <a16:creationId xmlns:a16="http://schemas.microsoft.com/office/drawing/2014/main" id="{00000000-0008-0000-0100-00007A000000}"/>
            </a:ext>
          </a:extLst>
        </xdr:cNvPr>
        <xdr:cNvSpPr>
          <a:spLocks noChangeAspect="1"/>
        </xdr:cNvSpPr>
      </xdr:nvSpPr>
      <xdr:spPr>
        <a:xfrm>
          <a:off x="8651155" y="4071419"/>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196936</xdr:colOff>
      <xdr:row>28</xdr:row>
      <xdr:rowOff>26981</xdr:rowOff>
    </xdr:from>
    <xdr:to>
      <xdr:col>14</xdr:col>
      <xdr:colOff>288376</xdr:colOff>
      <xdr:row>28</xdr:row>
      <xdr:rowOff>118421</xdr:rowOff>
    </xdr:to>
    <xdr:sp macro="" textlink="">
      <xdr:nvSpPr>
        <xdr:cNvPr id="121" name="Rectangle 120">
          <a:extLst>
            <a:ext uri="{FF2B5EF4-FFF2-40B4-BE49-F238E27FC236}">
              <a16:creationId xmlns:a16="http://schemas.microsoft.com/office/drawing/2014/main" id="{00000000-0008-0000-0100-000079000000}"/>
            </a:ext>
          </a:extLst>
        </xdr:cNvPr>
        <xdr:cNvSpPr>
          <a:spLocks noChangeAspect="1"/>
        </xdr:cNvSpPr>
      </xdr:nvSpPr>
      <xdr:spPr>
        <a:xfrm>
          <a:off x="8647253" y="5066691"/>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274320</xdr:colOff>
      <xdr:row>45</xdr:row>
      <xdr:rowOff>100520</xdr:rowOff>
    </xdr:from>
    <xdr:to>
      <xdr:col>24</xdr:col>
      <xdr:colOff>3018</xdr:colOff>
      <xdr:row>50</xdr:row>
      <xdr:rowOff>83207</xdr:rowOff>
    </xdr:to>
    <xdr:sp macro="" textlink="">
      <xdr:nvSpPr>
        <xdr:cNvPr id="267" name="Freeform 266">
          <a:extLst>
            <a:ext uri="{FF2B5EF4-FFF2-40B4-BE49-F238E27FC236}">
              <a16:creationId xmlns:a16="http://schemas.microsoft.com/office/drawing/2014/main" id="{00000000-0008-0000-0100-00000B010000}"/>
            </a:ext>
          </a:extLst>
        </xdr:cNvPr>
        <xdr:cNvSpPr/>
      </xdr:nvSpPr>
      <xdr:spPr>
        <a:xfrm>
          <a:off x="13423583" y="8101520"/>
          <a:ext cx="338298" cy="816125"/>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269128</xdr:colOff>
      <xdr:row>46</xdr:row>
      <xdr:rowOff>87556</xdr:rowOff>
    </xdr:from>
    <xdr:to>
      <xdr:col>24</xdr:col>
      <xdr:colOff>3018</xdr:colOff>
      <xdr:row>46</xdr:row>
      <xdr:rowOff>87556</xdr:rowOff>
    </xdr:to>
    <xdr:cxnSp macro="">
      <xdr:nvCxnSpPr>
        <xdr:cNvPr id="272" name="Straight Arrow Connector 271">
          <a:extLst>
            <a:ext uri="{FF2B5EF4-FFF2-40B4-BE49-F238E27FC236}">
              <a16:creationId xmlns:a16="http://schemas.microsoft.com/office/drawing/2014/main" id="{00000000-0008-0000-0100-000010010000}"/>
            </a:ext>
          </a:extLst>
        </xdr:cNvPr>
        <xdr:cNvCxnSpPr/>
      </xdr:nvCxnSpPr>
      <xdr:spPr>
        <a:xfrm>
          <a:off x="13430162" y="8757103"/>
          <a:ext cx="34349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269128</xdr:colOff>
      <xdr:row>47</xdr:row>
      <xdr:rowOff>87556</xdr:rowOff>
    </xdr:from>
    <xdr:to>
      <xdr:col>24</xdr:col>
      <xdr:colOff>3018</xdr:colOff>
      <xdr:row>47</xdr:row>
      <xdr:rowOff>87556</xdr:rowOff>
    </xdr:to>
    <xdr:cxnSp macro="">
      <xdr:nvCxnSpPr>
        <xdr:cNvPr id="281" name="Straight Arrow Connector 280">
          <a:extLst>
            <a:ext uri="{FF2B5EF4-FFF2-40B4-BE49-F238E27FC236}">
              <a16:creationId xmlns:a16="http://schemas.microsoft.com/office/drawing/2014/main" id="{00000000-0008-0000-0100-000019010000}"/>
            </a:ext>
          </a:extLst>
        </xdr:cNvPr>
        <xdr:cNvCxnSpPr/>
      </xdr:nvCxnSpPr>
      <xdr:spPr>
        <a:xfrm>
          <a:off x="13430162" y="8923881"/>
          <a:ext cx="34349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269128</xdr:colOff>
      <xdr:row>48</xdr:row>
      <xdr:rowOff>87556</xdr:rowOff>
    </xdr:from>
    <xdr:to>
      <xdr:col>24</xdr:col>
      <xdr:colOff>3018</xdr:colOff>
      <xdr:row>48</xdr:row>
      <xdr:rowOff>87556</xdr:rowOff>
    </xdr:to>
    <xdr:cxnSp macro="">
      <xdr:nvCxnSpPr>
        <xdr:cNvPr id="282" name="Straight Arrow Connector 281">
          <a:extLst>
            <a:ext uri="{FF2B5EF4-FFF2-40B4-BE49-F238E27FC236}">
              <a16:creationId xmlns:a16="http://schemas.microsoft.com/office/drawing/2014/main" id="{00000000-0008-0000-0100-00001A010000}"/>
            </a:ext>
          </a:extLst>
        </xdr:cNvPr>
        <xdr:cNvCxnSpPr/>
      </xdr:nvCxnSpPr>
      <xdr:spPr>
        <a:xfrm>
          <a:off x="13430162" y="9090658"/>
          <a:ext cx="34349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269128</xdr:colOff>
      <xdr:row>49</xdr:row>
      <xdr:rowOff>87556</xdr:rowOff>
    </xdr:from>
    <xdr:to>
      <xdr:col>24</xdr:col>
      <xdr:colOff>3018</xdr:colOff>
      <xdr:row>49</xdr:row>
      <xdr:rowOff>87556</xdr:rowOff>
    </xdr:to>
    <xdr:cxnSp macro="">
      <xdr:nvCxnSpPr>
        <xdr:cNvPr id="283" name="Straight Arrow Connector 282">
          <a:extLst>
            <a:ext uri="{FF2B5EF4-FFF2-40B4-BE49-F238E27FC236}">
              <a16:creationId xmlns:a16="http://schemas.microsoft.com/office/drawing/2014/main" id="{00000000-0008-0000-0100-00001B010000}"/>
            </a:ext>
          </a:extLst>
        </xdr:cNvPr>
        <xdr:cNvCxnSpPr/>
      </xdr:nvCxnSpPr>
      <xdr:spPr>
        <a:xfrm>
          <a:off x="13430162" y="9257435"/>
          <a:ext cx="34349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228820</xdr:colOff>
      <xdr:row>46</xdr:row>
      <xdr:rowOff>40250</xdr:rowOff>
    </xdr:from>
    <xdr:to>
      <xdr:col>23</xdr:col>
      <xdr:colOff>320260</xdr:colOff>
      <xdr:row>46</xdr:row>
      <xdr:rowOff>131690</xdr:rowOff>
    </xdr:to>
    <xdr:sp macro="" textlink="">
      <xdr:nvSpPr>
        <xdr:cNvPr id="294" name="Rectangle 293">
          <a:extLst>
            <a:ext uri="{FF2B5EF4-FFF2-40B4-BE49-F238E27FC236}">
              <a16:creationId xmlns:a16="http://schemas.microsoft.com/office/drawing/2014/main" id="{00000000-0008-0000-0100-000026010000}"/>
            </a:ext>
          </a:extLst>
        </xdr:cNvPr>
        <xdr:cNvSpPr>
          <a:spLocks noChangeAspect="1"/>
        </xdr:cNvSpPr>
      </xdr:nvSpPr>
      <xdr:spPr>
        <a:xfrm>
          <a:off x="13389854" y="8709797"/>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228820</xdr:colOff>
      <xdr:row>47</xdr:row>
      <xdr:rowOff>40250</xdr:rowOff>
    </xdr:from>
    <xdr:to>
      <xdr:col>23</xdr:col>
      <xdr:colOff>320260</xdr:colOff>
      <xdr:row>47</xdr:row>
      <xdr:rowOff>131690</xdr:rowOff>
    </xdr:to>
    <xdr:sp macro="" textlink="">
      <xdr:nvSpPr>
        <xdr:cNvPr id="310" name="Rectangle 309">
          <a:extLst>
            <a:ext uri="{FF2B5EF4-FFF2-40B4-BE49-F238E27FC236}">
              <a16:creationId xmlns:a16="http://schemas.microsoft.com/office/drawing/2014/main" id="{00000000-0008-0000-0100-000036010000}"/>
            </a:ext>
          </a:extLst>
        </xdr:cNvPr>
        <xdr:cNvSpPr>
          <a:spLocks noChangeAspect="1"/>
        </xdr:cNvSpPr>
      </xdr:nvSpPr>
      <xdr:spPr>
        <a:xfrm>
          <a:off x="13389854" y="8876575"/>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228820</xdr:colOff>
      <xdr:row>48</xdr:row>
      <xdr:rowOff>40250</xdr:rowOff>
    </xdr:from>
    <xdr:to>
      <xdr:col>23</xdr:col>
      <xdr:colOff>320260</xdr:colOff>
      <xdr:row>48</xdr:row>
      <xdr:rowOff>131690</xdr:rowOff>
    </xdr:to>
    <xdr:sp macro="" textlink="">
      <xdr:nvSpPr>
        <xdr:cNvPr id="320" name="Rectangle 319">
          <a:extLst>
            <a:ext uri="{FF2B5EF4-FFF2-40B4-BE49-F238E27FC236}">
              <a16:creationId xmlns:a16="http://schemas.microsoft.com/office/drawing/2014/main" id="{00000000-0008-0000-0100-000040010000}"/>
            </a:ext>
          </a:extLst>
        </xdr:cNvPr>
        <xdr:cNvSpPr>
          <a:spLocks noChangeAspect="1"/>
        </xdr:cNvSpPr>
      </xdr:nvSpPr>
      <xdr:spPr>
        <a:xfrm>
          <a:off x="13389854" y="9043352"/>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228820</xdr:colOff>
      <xdr:row>49</xdr:row>
      <xdr:rowOff>40250</xdr:rowOff>
    </xdr:from>
    <xdr:to>
      <xdr:col>23</xdr:col>
      <xdr:colOff>320260</xdr:colOff>
      <xdr:row>49</xdr:row>
      <xdr:rowOff>131690</xdr:rowOff>
    </xdr:to>
    <xdr:sp macro="" textlink="">
      <xdr:nvSpPr>
        <xdr:cNvPr id="321" name="Rectangle 320">
          <a:extLst>
            <a:ext uri="{FF2B5EF4-FFF2-40B4-BE49-F238E27FC236}">
              <a16:creationId xmlns:a16="http://schemas.microsoft.com/office/drawing/2014/main" id="{00000000-0008-0000-0100-000041010000}"/>
            </a:ext>
          </a:extLst>
        </xdr:cNvPr>
        <xdr:cNvSpPr>
          <a:spLocks noChangeAspect="1"/>
        </xdr:cNvSpPr>
      </xdr:nvSpPr>
      <xdr:spPr>
        <a:xfrm>
          <a:off x="13396180" y="8853324"/>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xdr:colOff>
          <xdr:row>10</xdr:row>
          <xdr:rowOff>30480</xdr:rowOff>
        </xdr:from>
        <xdr:to>
          <xdr:col>5</xdr:col>
          <xdr:colOff>7620</xdr:colOff>
          <xdr:row>10</xdr:row>
          <xdr:rowOff>152400</xdr:rowOff>
        </xdr:to>
        <xdr:sp macro="" textlink="">
          <xdr:nvSpPr>
            <xdr:cNvPr id="1145" name="Wake On Voice"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Wake on Voice Capability</a:t>
              </a:r>
            </a:p>
          </xdr:txBody>
        </xdr:sp>
        <xdr:clientData/>
      </xdr:twoCellAnchor>
    </mc:Choice>
    <mc:Fallback/>
  </mc:AlternateContent>
  <xdr:twoCellAnchor>
    <xdr:from>
      <xdr:col>14</xdr:col>
      <xdr:colOff>196598</xdr:colOff>
      <xdr:row>43</xdr:row>
      <xdr:rowOff>0</xdr:rowOff>
    </xdr:from>
    <xdr:to>
      <xdr:col>24</xdr:col>
      <xdr:colOff>3018</xdr:colOff>
      <xdr:row>43</xdr:row>
      <xdr:rowOff>152400</xdr:rowOff>
    </xdr:to>
    <xdr:grpSp>
      <xdr:nvGrpSpPr>
        <xdr:cNvPr id="1100" name="V3.3A_EC" hidden="1">
          <a:extLst>
            <a:ext uri="{FF2B5EF4-FFF2-40B4-BE49-F238E27FC236}">
              <a16:creationId xmlns:a16="http://schemas.microsoft.com/office/drawing/2014/main" id="{00000000-0008-0000-0100-00004C040000}"/>
            </a:ext>
          </a:extLst>
        </xdr:cNvPr>
        <xdr:cNvGrpSpPr/>
      </xdr:nvGrpSpPr>
      <xdr:grpSpPr>
        <a:xfrm>
          <a:off x="9315198" y="7611533"/>
          <a:ext cx="5267420" cy="152400"/>
          <a:chOff x="8645273" y="7334250"/>
          <a:chExt cx="5116608" cy="152400"/>
        </a:xfrm>
      </xdr:grpSpPr>
      <xdr:cxnSp macro="">
        <xdr:nvCxnSpPr>
          <xdr:cNvPr id="98" name="Straight Arrow Connector 97">
            <a:extLst>
              <a:ext uri="{FF2B5EF4-FFF2-40B4-BE49-F238E27FC236}">
                <a16:creationId xmlns:a16="http://schemas.microsoft.com/office/drawing/2014/main" id="{00000000-0008-0000-0100-000062000000}"/>
              </a:ext>
            </a:extLst>
          </xdr:cNvPr>
          <xdr:cNvCxnSpPr/>
        </xdr:nvCxnSpPr>
        <xdr:spPr>
          <a:xfrm>
            <a:off x="8668157" y="7410393"/>
            <a:ext cx="39054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10" name="Rectangle 109">
            <a:extLst>
              <a:ext uri="{FF2B5EF4-FFF2-40B4-BE49-F238E27FC236}">
                <a16:creationId xmlns:a16="http://schemas.microsoft.com/office/drawing/2014/main" id="{00000000-0008-0000-0100-00006E000000}"/>
              </a:ext>
            </a:extLst>
          </xdr:cNvPr>
          <xdr:cNvSpPr>
            <a:spLocks noChangeAspect="1"/>
          </xdr:cNvSpPr>
        </xdr:nvSpPr>
        <xdr:spPr>
          <a:xfrm>
            <a:off x="8645273" y="7367255"/>
            <a:ext cx="94454" cy="86808"/>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xnSp macro="">
        <xdr:nvCxnSpPr>
          <xdr:cNvPr id="54" name="Straight Arrow Connector 53">
            <a:extLst>
              <a:ext uri="{FF2B5EF4-FFF2-40B4-BE49-F238E27FC236}">
                <a16:creationId xmlns:a16="http://schemas.microsoft.com/office/drawing/2014/main" id="{00000000-0008-0000-0100-000036000000}"/>
              </a:ext>
            </a:extLst>
          </xdr:cNvPr>
          <xdr:cNvCxnSpPr/>
        </xdr:nvCxnSpPr>
        <xdr:spPr>
          <a:xfrm>
            <a:off x="13162585" y="7428299"/>
            <a:ext cx="59929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1149" name="Object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9058275" y="7334250"/>
                <a:ext cx="160020" cy="15240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14</xdr:col>
      <xdr:colOff>243820</xdr:colOff>
      <xdr:row>56</xdr:row>
      <xdr:rowOff>134985</xdr:rowOff>
    </xdr:from>
    <xdr:to>
      <xdr:col>15</xdr:col>
      <xdr:colOff>398</xdr:colOff>
      <xdr:row>57</xdr:row>
      <xdr:rowOff>67629</xdr:rowOff>
    </xdr:to>
    <xdr:sp macro="" textlink="">
      <xdr:nvSpPr>
        <xdr:cNvPr id="323" name="Freeform 322">
          <a:extLst>
            <a:ext uri="{FF2B5EF4-FFF2-40B4-BE49-F238E27FC236}">
              <a16:creationId xmlns:a16="http://schemas.microsoft.com/office/drawing/2014/main" id="{00000000-0008-0000-0100-000043010000}"/>
            </a:ext>
          </a:extLst>
        </xdr:cNvPr>
        <xdr:cNvSpPr/>
      </xdr:nvSpPr>
      <xdr:spPr>
        <a:xfrm>
          <a:off x="8699843" y="10646231"/>
          <a:ext cx="366178" cy="102461"/>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274320</xdr:colOff>
      <xdr:row>57</xdr:row>
      <xdr:rowOff>108284</xdr:rowOff>
    </xdr:from>
    <xdr:to>
      <xdr:col>24</xdr:col>
      <xdr:colOff>3018</xdr:colOff>
      <xdr:row>58</xdr:row>
      <xdr:rowOff>86013</xdr:rowOff>
    </xdr:to>
    <xdr:sp macro="" textlink="">
      <xdr:nvSpPr>
        <xdr:cNvPr id="324" name="Freeform 323">
          <a:extLst>
            <a:ext uri="{FF2B5EF4-FFF2-40B4-BE49-F238E27FC236}">
              <a16:creationId xmlns:a16="http://schemas.microsoft.com/office/drawing/2014/main" id="{00000000-0008-0000-0100-000044010000}"/>
            </a:ext>
          </a:extLst>
        </xdr:cNvPr>
        <xdr:cNvSpPr/>
      </xdr:nvSpPr>
      <xdr:spPr>
        <a:xfrm>
          <a:off x="13436867" y="10708105"/>
          <a:ext cx="338298" cy="146171"/>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274320</xdr:colOff>
      <xdr:row>58</xdr:row>
      <xdr:rowOff>104274</xdr:rowOff>
    </xdr:from>
    <xdr:to>
      <xdr:col>24</xdr:col>
      <xdr:colOff>3018</xdr:colOff>
      <xdr:row>59</xdr:row>
      <xdr:rowOff>81444</xdr:rowOff>
    </xdr:to>
    <xdr:sp macro="" textlink="">
      <xdr:nvSpPr>
        <xdr:cNvPr id="325" name="Freeform 324">
          <a:extLst>
            <a:ext uri="{FF2B5EF4-FFF2-40B4-BE49-F238E27FC236}">
              <a16:creationId xmlns:a16="http://schemas.microsoft.com/office/drawing/2014/main" id="{00000000-0008-0000-0100-000045010000}"/>
            </a:ext>
          </a:extLst>
        </xdr:cNvPr>
        <xdr:cNvSpPr/>
      </xdr:nvSpPr>
      <xdr:spPr>
        <a:xfrm>
          <a:off x="13436867" y="10872537"/>
          <a:ext cx="338298" cy="145612"/>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228820</xdr:colOff>
      <xdr:row>58</xdr:row>
      <xdr:rowOff>40460</xdr:rowOff>
    </xdr:from>
    <xdr:to>
      <xdr:col>23</xdr:col>
      <xdr:colOff>320260</xdr:colOff>
      <xdr:row>58</xdr:row>
      <xdr:rowOff>131900</xdr:rowOff>
    </xdr:to>
    <xdr:sp macro="" textlink="">
      <xdr:nvSpPr>
        <xdr:cNvPr id="328" name="Rectangle 327">
          <a:extLst>
            <a:ext uri="{FF2B5EF4-FFF2-40B4-BE49-F238E27FC236}">
              <a16:creationId xmlns:a16="http://schemas.microsoft.com/office/drawing/2014/main" id="{00000000-0008-0000-0100-000048010000}"/>
            </a:ext>
          </a:extLst>
        </xdr:cNvPr>
        <xdr:cNvSpPr>
          <a:spLocks noChangeAspect="1"/>
        </xdr:cNvSpPr>
      </xdr:nvSpPr>
      <xdr:spPr>
        <a:xfrm>
          <a:off x="13396180" y="10891340"/>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228820</xdr:colOff>
      <xdr:row>57</xdr:row>
      <xdr:rowOff>39189</xdr:rowOff>
    </xdr:from>
    <xdr:to>
      <xdr:col>23</xdr:col>
      <xdr:colOff>320260</xdr:colOff>
      <xdr:row>57</xdr:row>
      <xdr:rowOff>130629</xdr:rowOff>
    </xdr:to>
    <xdr:sp macro="" textlink="">
      <xdr:nvSpPr>
        <xdr:cNvPr id="329" name="Rectangle 328">
          <a:extLst>
            <a:ext uri="{FF2B5EF4-FFF2-40B4-BE49-F238E27FC236}">
              <a16:creationId xmlns:a16="http://schemas.microsoft.com/office/drawing/2014/main" id="{00000000-0008-0000-0100-000049010000}"/>
            </a:ext>
          </a:extLst>
        </xdr:cNvPr>
        <xdr:cNvSpPr>
          <a:spLocks noChangeAspect="1"/>
        </xdr:cNvSpPr>
      </xdr:nvSpPr>
      <xdr:spPr>
        <a:xfrm>
          <a:off x="13396180" y="10720252"/>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196599</xdr:colOff>
      <xdr:row>45</xdr:row>
      <xdr:rowOff>31179</xdr:rowOff>
    </xdr:from>
    <xdr:to>
      <xdr:col>24</xdr:col>
      <xdr:colOff>3018</xdr:colOff>
      <xdr:row>54</xdr:row>
      <xdr:rowOff>75485</xdr:rowOff>
    </xdr:to>
    <xdr:grpSp>
      <xdr:nvGrpSpPr>
        <xdr:cNvPr id="1099" name="V3.3S_Group2_Gated">
          <a:extLst>
            <a:ext uri="{FF2B5EF4-FFF2-40B4-BE49-F238E27FC236}">
              <a16:creationId xmlns:a16="http://schemas.microsoft.com/office/drawing/2014/main" id="{00000000-0008-0000-0100-00004B040000}"/>
            </a:ext>
          </a:extLst>
        </xdr:cNvPr>
        <xdr:cNvGrpSpPr/>
      </xdr:nvGrpSpPr>
      <xdr:grpSpPr>
        <a:xfrm>
          <a:off x="9315199" y="7981379"/>
          <a:ext cx="5267419" cy="1568306"/>
          <a:chOff x="8646916" y="8097869"/>
          <a:chExt cx="5129909" cy="1557795"/>
        </a:xfrm>
      </xdr:grpSpPr>
      <xdr:sp macro="" textlink="">
        <xdr:nvSpPr>
          <xdr:cNvPr id="337" name="Freeform 336">
            <a:extLst>
              <a:ext uri="{FF2B5EF4-FFF2-40B4-BE49-F238E27FC236}">
                <a16:creationId xmlns:a16="http://schemas.microsoft.com/office/drawing/2014/main" id="{00000000-0008-0000-0100-000051010000}"/>
              </a:ext>
            </a:extLst>
          </xdr:cNvPr>
          <xdr:cNvSpPr/>
        </xdr:nvSpPr>
        <xdr:spPr>
          <a:xfrm>
            <a:off x="8694396" y="8135271"/>
            <a:ext cx="373977" cy="1352066"/>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2" name="Straight Arrow Connector 61">
            <a:extLst>
              <a:ext uri="{FF2B5EF4-FFF2-40B4-BE49-F238E27FC236}">
                <a16:creationId xmlns:a16="http://schemas.microsoft.com/office/drawing/2014/main" id="{00000000-0008-0000-0100-00003E000000}"/>
              </a:ext>
            </a:extLst>
          </xdr:cNvPr>
          <xdr:cNvCxnSpPr/>
        </xdr:nvCxnSpPr>
        <xdr:spPr>
          <a:xfrm>
            <a:off x="13177529" y="9485431"/>
            <a:ext cx="59929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14" name="Rectangle 113">
            <a:extLst>
              <a:ext uri="{FF2B5EF4-FFF2-40B4-BE49-F238E27FC236}">
                <a16:creationId xmlns:a16="http://schemas.microsoft.com/office/drawing/2014/main" id="{00000000-0008-0000-0100-000072000000}"/>
              </a:ext>
            </a:extLst>
          </xdr:cNvPr>
          <xdr:cNvSpPr>
            <a:spLocks noChangeAspect="1"/>
          </xdr:cNvSpPr>
        </xdr:nvSpPr>
        <xdr:spPr>
          <a:xfrm>
            <a:off x="8646916" y="8097869"/>
            <a:ext cx="94454" cy="86808"/>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mc:AlternateContent xmlns:mc="http://schemas.openxmlformats.org/markup-compatibility/2006">
        <mc:Choice xmlns:a14="http://schemas.microsoft.com/office/drawing/2010/main" Requires="a14">
          <xdr:sp macro="" textlink="">
            <xdr:nvSpPr>
              <xdr:cNvPr id="1095" name="Object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9059917" y="9412014"/>
                <a:ext cx="160020" cy="15240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9" name="Freeform 308">
            <a:extLst>
              <a:ext uri="{FF2B5EF4-FFF2-40B4-BE49-F238E27FC236}">
                <a16:creationId xmlns:a16="http://schemas.microsoft.com/office/drawing/2014/main" id="{00000000-0008-0000-0100-000035010000}"/>
              </a:ext>
            </a:extLst>
          </xdr:cNvPr>
          <xdr:cNvSpPr/>
        </xdr:nvSpPr>
        <xdr:spPr>
          <a:xfrm>
            <a:off x="13438527" y="9490393"/>
            <a:ext cx="338298" cy="165271"/>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0" name="Rectangle 329">
            <a:extLst>
              <a:ext uri="{FF2B5EF4-FFF2-40B4-BE49-F238E27FC236}">
                <a16:creationId xmlns:a16="http://schemas.microsoft.com/office/drawing/2014/main" id="{00000000-0008-0000-0100-00004A010000}"/>
              </a:ext>
            </a:extLst>
          </xdr:cNvPr>
          <xdr:cNvSpPr>
            <a:spLocks noChangeAspect="1"/>
          </xdr:cNvSpPr>
        </xdr:nvSpPr>
        <xdr:spPr>
          <a:xfrm>
            <a:off x="13393027" y="9442491"/>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15</xdr:col>
          <xdr:colOff>0</xdr:colOff>
          <xdr:row>29</xdr:row>
          <xdr:rowOff>0</xdr:rowOff>
        </xdr:from>
        <xdr:to>
          <xdr:col>15</xdr:col>
          <xdr:colOff>160020</xdr:colOff>
          <xdr:row>29</xdr:row>
          <xdr:rowOff>152400</xdr:rowOff>
        </xdr:to>
        <xdr:sp macro="" textlink="">
          <xdr:nvSpPr>
            <xdr:cNvPr id="1151" name="Object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28</xdr:row>
          <xdr:rowOff>0</xdr:rowOff>
        </xdr:from>
        <xdr:to>
          <xdr:col>15</xdr:col>
          <xdr:colOff>160020</xdr:colOff>
          <xdr:row>28</xdr:row>
          <xdr:rowOff>152400</xdr:rowOff>
        </xdr:to>
        <xdr:sp macro="" textlink="">
          <xdr:nvSpPr>
            <xdr:cNvPr id="1152" name="Object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196599</xdr:colOff>
      <xdr:row>45</xdr:row>
      <xdr:rowOff>76200</xdr:rowOff>
    </xdr:from>
    <xdr:to>
      <xdr:col>24</xdr:col>
      <xdr:colOff>3018</xdr:colOff>
      <xdr:row>52</xdr:row>
      <xdr:rowOff>84191</xdr:rowOff>
    </xdr:to>
    <xdr:grpSp>
      <xdr:nvGrpSpPr>
        <xdr:cNvPr id="1097" name="V3.3S_Group1_Gated" hidden="1">
          <a:extLst>
            <a:ext uri="{FF2B5EF4-FFF2-40B4-BE49-F238E27FC236}">
              <a16:creationId xmlns:a16="http://schemas.microsoft.com/office/drawing/2014/main" id="{00000000-0008-0000-0100-000049040000}"/>
            </a:ext>
          </a:extLst>
        </xdr:cNvPr>
        <xdr:cNvGrpSpPr/>
      </xdr:nvGrpSpPr>
      <xdr:grpSpPr>
        <a:xfrm>
          <a:off x="9315199" y="8026400"/>
          <a:ext cx="5267419" cy="1193324"/>
          <a:chOff x="8647179" y="8115300"/>
          <a:chExt cx="5125179" cy="1181471"/>
        </a:xfrm>
      </xdr:grpSpPr>
      <xdr:sp macro="" textlink="">
        <xdr:nvSpPr>
          <xdr:cNvPr id="336" name="Freeform 335" hidden="1">
            <a:extLst>
              <a:ext uri="{FF2B5EF4-FFF2-40B4-BE49-F238E27FC236}">
                <a16:creationId xmlns:a16="http://schemas.microsoft.com/office/drawing/2014/main" id="{00000000-0008-0000-0100-000050010000}"/>
              </a:ext>
            </a:extLst>
          </xdr:cNvPr>
          <xdr:cNvSpPr/>
        </xdr:nvSpPr>
        <xdr:spPr>
          <a:xfrm>
            <a:off x="8694659" y="8115300"/>
            <a:ext cx="373977" cy="1004960"/>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62" name="Straight Arrow Connector 261" hidden="1">
            <a:extLst>
              <a:ext uri="{FF2B5EF4-FFF2-40B4-BE49-F238E27FC236}">
                <a16:creationId xmlns:a16="http://schemas.microsoft.com/office/drawing/2014/main" id="{00000000-0008-0000-0100-000006010000}"/>
              </a:ext>
            </a:extLst>
          </xdr:cNvPr>
          <xdr:cNvCxnSpPr/>
        </xdr:nvCxnSpPr>
        <xdr:spPr>
          <a:xfrm>
            <a:off x="13173062" y="9127003"/>
            <a:ext cx="59929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63" name="Freeform 262" hidden="1">
            <a:extLst>
              <a:ext uri="{FF2B5EF4-FFF2-40B4-BE49-F238E27FC236}">
                <a16:creationId xmlns:a16="http://schemas.microsoft.com/office/drawing/2014/main" id="{00000000-0008-0000-0100-000007010000}"/>
              </a:ext>
            </a:extLst>
          </xdr:cNvPr>
          <xdr:cNvSpPr/>
        </xdr:nvSpPr>
        <xdr:spPr>
          <a:xfrm>
            <a:off x="13434060" y="9132025"/>
            <a:ext cx="338298" cy="164746"/>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7" name="Rectangle 306" hidden="1">
            <a:extLst>
              <a:ext uri="{FF2B5EF4-FFF2-40B4-BE49-F238E27FC236}">
                <a16:creationId xmlns:a16="http://schemas.microsoft.com/office/drawing/2014/main" id="{00000000-0008-0000-0100-000033010000}"/>
              </a:ext>
            </a:extLst>
          </xdr:cNvPr>
          <xdr:cNvSpPr>
            <a:spLocks noChangeAspect="1"/>
          </xdr:cNvSpPr>
        </xdr:nvSpPr>
        <xdr:spPr>
          <a:xfrm>
            <a:off x="13388560" y="9084129"/>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mc:AlternateContent xmlns:mc="http://schemas.openxmlformats.org/markup-compatibility/2006">
        <mc:Choice xmlns:a14="http://schemas.microsoft.com/office/drawing/2010/main" Requires="a14">
          <xdr:sp macro="" textlink="">
            <xdr:nvSpPr>
              <xdr:cNvPr id="1150" name="Object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9060180" y="9044940"/>
                <a:ext cx="160020" cy="15240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2" name="Rectangle 341" hidden="1">
            <a:extLst>
              <a:ext uri="{FF2B5EF4-FFF2-40B4-BE49-F238E27FC236}">
                <a16:creationId xmlns:a16="http://schemas.microsoft.com/office/drawing/2014/main" id="{00000000-0008-0000-0100-000056010000}"/>
              </a:ext>
            </a:extLst>
          </xdr:cNvPr>
          <xdr:cNvSpPr>
            <a:spLocks noChangeAspect="1"/>
          </xdr:cNvSpPr>
        </xdr:nvSpPr>
        <xdr:spPr>
          <a:xfrm>
            <a:off x="8647179" y="9078393"/>
            <a:ext cx="94454" cy="86808"/>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228820</xdr:colOff>
      <xdr:row>50</xdr:row>
      <xdr:rowOff>40250</xdr:rowOff>
    </xdr:from>
    <xdr:to>
      <xdr:col>24</xdr:col>
      <xdr:colOff>3018</xdr:colOff>
      <xdr:row>52</xdr:row>
      <xdr:rowOff>87487</xdr:rowOff>
    </xdr:to>
    <xdr:grpSp>
      <xdr:nvGrpSpPr>
        <xdr:cNvPr id="70" name="V3.3S_Group1_Ungated">
          <a:extLst>
            <a:ext uri="{FF2B5EF4-FFF2-40B4-BE49-F238E27FC236}">
              <a16:creationId xmlns:a16="http://schemas.microsoft.com/office/drawing/2014/main" id="{00000000-0008-0000-0100-000046000000}"/>
            </a:ext>
          </a:extLst>
        </xdr:cNvPr>
        <xdr:cNvGrpSpPr/>
      </xdr:nvGrpSpPr>
      <xdr:grpSpPr>
        <a:xfrm>
          <a:off x="14198820" y="8837117"/>
          <a:ext cx="383798" cy="385903"/>
          <a:chOff x="13506670" y="8874688"/>
          <a:chExt cx="383798" cy="380612"/>
        </a:xfrm>
      </xdr:grpSpPr>
      <xdr:sp macro="" textlink="">
        <xdr:nvSpPr>
          <xdr:cNvPr id="343" name="Freeform 342">
            <a:extLst>
              <a:ext uri="{FF2B5EF4-FFF2-40B4-BE49-F238E27FC236}">
                <a16:creationId xmlns:a16="http://schemas.microsoft.com/office/drawing/2014/main" id="{00000000-0008-0000-0100-000057010000}"/>
              </a:ext>
            </a:extLst>
          </xdr:cNvPr>
          <xdr:cNvSpPr/>
        </xdr:nvSpPr>
        <xdr:spPr>
          <a:xfrm>
            <a:off x="13552170" y="8920163"/>
            <a:ext cx="338298" cy="163689"/>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4" name="Freeform 343">
            <a:extLst>
              <a:ext uri="{FF2B5EF4-FFF2-40B4-BE49-F238E27FC236}">
                <a16:creationId xmlns:a16="http://schemas.microsoft.com/office/drawing/2014/main" id="{00000000-0008-0000-0100-000058010000}"/>
              </a:ext>
            </a:extLst>
          </xdr:cNvPr>
          <xdr:cNvSpPr/>
        </xdr:nvSpPr>
        <xdr:spPr>
          <a:xfrm>
            <a:off x="13552170" y="9086851"/>
            <a:ext cx="338298" cy="168449"/>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5" name="Rectangle 344">
            <a:extLst>
              <a:ext uri="{FF2B5EF4-FFF2-40B4-BE49-F238E27FC236}">
                <a16:creationId xmlns:a16="http://schemas.microsoft.com/office/drawing/2014/main" id="{00000000-0008-0000-0100-000059010000}"/>
              </a:ext>
            </a:extLst>
          </xdr:cNvPr>
          <xdr:cNvSpPr>
            <a:spLocks noChangeAspect="1"/>
          </xdr:cNvSpPr>
        </xdr:nvSpPr>
        <xdr:spPr>
          <a:xfrm>
            <a:off x="13506670" y="9034461"/>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22" name="Rectangle 321">
            <a:extLst>
              <a:ext uri="{FF2B5EF4-FFF2-40B4-BE49-F238E27FC236}">
                <a16:creationId xmlns:a16="http://schemas.microsoft.com/office/drawing/2014/main" id="{00000000-0008-0000-0100-000042010000}"/>
              </a:ext>
            </a:extLst>
          </xdr:cNvPr>
          <xdr:cNvSpPr>
            <a:spLocks noChangeAspect="1"/>
          </xdr:cNvSpPr>
        </xdr:nvSpPr>
        <xdr:spPr>
          <a:xfrm>
            <a:off x="13506670" y="8874688"/>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14</xdr:col>
      <xdr:colOff>196936</xdr:colOff>
      <xdr:row>42</xdr:row>
      <xdr:rowOff>0</xdr:rowOff>
    </xdr:from>
    <xdr:to>
      <xdr:col>24</xdr:col>
      <xdr:colOff>3018</xdr:colOff>
      <xdr:row>42</xdr:row>
      <xdr:rowOff>152400</xdr:rowOff>
    </xdr:to>
    <xdr:grpSp>
      <xdr:nvGrpSpPr>
        <xdr:cNvPr id="106" name="V3.3ALSON1_group">
          <a:extLst>
            <a:ext uri="{FF2B5EF4-FFF2-40B4-BE49-F238E27FC236}">
              <a16:creationId xmlns:a16="http://schemas.microsoft.com/office/drawing/2014/main" id="{00000000-0008-0000-0100-00006A000000}"/>
            </a:ext>
          </a:extLst>
        </xdr:cNvPr>
        <xdr:cNvGrpSpPr/>
      </xdr:nvGrpSpPr>
      <xdr:grpSpPr>
        <a:xfrm>
          <a:off x="9315536" y="7442200"/>
          <a:ext cx="5267082" cy="152400"/>
          <a:chOff x="8645611" y="7167563"/>
          <a:chExt cx="5244857" cy="152400"/>
        </a:xfrm>
      </xdr:grpSpPr>
      <xdr:cxnSp macro="">
        <xdr:nvCxnSpPr>
          <xdr:cNvPr id="304" name="Straight Arrow Connector 303">
            <a:extLst>
              <a:ext uri="{FF2B5EF4-FFF2-40B4-BE49-F238E27FC236}">
                <a16:creationId xmlns:a16="http://schemas.microsoft.com/office/drawing/2014/main" id="{00000000-0008-0000-0100-000030010000}"/>
              </a:ext>
            </a:extLst>
          </xdr:cNvPr>
          <xdr:cNvCxnSpPr/>
        </xdr:nvCxnSpPr>
        <xdr:spPr>
          <a:xfrm>
            <a:off x="8669646" y="7243073"/>
            <a:ext cx="391646"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308" name="Straight Arrow Connector 307">
            <a:extLst>
              <a:ext uri="{FF2B5EF4-FFF2-40B4-BE49-F238E27FC236}">
                <a16:creationId xmlns:a16="http://schemas.microsoft.com/office/drawing/2014/main" id="{00000000-0008-0000-0100-000034010000}"/>
              </a:ext>
            </a:extLst>
          </xdr:cNvPr>
          <xdr:cNvCxnSpPr/>
        </xdr:nvCxnSpPr>
        <xdr:spPr>
          <a:xfrm>
            <a:off x="13288505" y="7262810"/>
            <a:ext cx="601963"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05" name="Rectangle 304">
            <a:extLst>
              <a:ext uri="{FF2B5EF4-FFF2-40B4-BE49-F238E27FC236}">
                <a16:creationId xmlns:a16="http://schemas.microsoft.com/office/drawing/2014/main" id="{00000000-0008-0000-0100-000031010000}"/>
              </a:ext>
            </a:extLst>
          </xdr:cNvPr>
          <xdr:cNvSpPr>
            <a:spLocks noChangeAspect="1"/>
          </xdr:cNvSpPr>
        </xdr:nvSpPr>
        <xdr:spPr>
          <a:xfrm>
            <a:off x="8645611" y="7201364"/>
            <a:ext cx="9390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mc:AlternateContent xmlns:mc="http://schemas.openxmlformats.org/markup-compatibility/2006">
        <mc:Choice xmlns:a14="http://schemas.microsoft.com/office/drawing/2010/main" Requires="a14">
          <xdr:sp macro="" textlink="">
            <xdr:nvSpPr>
              <xdr:cNvPr id="1173" name="Object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9058276" y="7167563"/>
                <a:ext cx="160021" cy="15240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15</xdr:col>
          <xdr:colOff>0</xdr:colOff>
          <xdr:row>44</xdr:row>
          <xdr:rowOff>0</xdr:rowOff>
        </xdr:from>
        <xdr:to>
          <xdr:col>15</xdr:col>
          <xdr:colOff>160020</xdr:colOff>
          <xdr:row>44</xdr:row>
          <xdr:rowOff>152400</xdr:rowOff>
        </xdr:to>
        <xdr:sp macro="" textlink="">
          <xdr:nvSpPr>
            <xdr:cNvPr id="1174" name="Object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228527</xdr:colOff>
      <xdr:row>52</xdr:row>
      <xdr:rowOff>47898</xdr:rowOff>
    </xdr:from>
    <xdr:to>
      <xdr:col>24</xdr:col>
      <xdr:colOff>2725</xdr:colOff>
      <xdr:row>54</xdr:row>
      <xdr:rowOff>95135</xdr:rowOff>
    </xdr:to>
    <xdr:grpSp>
      <xdr:nvGrpSpPr>
        <xdr:cNvPr id="71" name="V3.3S_Group2_Ungated" hidden="1">
          <a:extLst>
            <a:ext uri="{FF2B5EF4-FFF2-40B4-BE49-F238E27FC236}">
              <a16:creationId xmlns:a16="http://schemas.microsoft.com/office/drawing/2014/main" id="{00000000-0008-0000-0100-000047000000}"/>
            </a:ext>
          </a:extLst>
        </xdr:cNvPr>
        <xdr:cNvGrpSpPr/>
      </xdr:nvGrpSpPr>
      <xdr:grpSpPr>
        <a:xfrm>
          <a:off x="14198527" y="9183431"/>
          <a:ext cx="383798" cy="385904"/>
          <a:chOff x="13506377" y="9215711"/>
          <a:chExt cx="383798" cy="380612"/>
        </a:xfrm>
      </xdr:grpSpPr>
      <xdr:sp macro="" textlink="">
        <xdr:nvSpPr>
          <xdr:cNvPr id="348" name="Freeform 347" hidden="1">
            <a:extLst>
              <a:ext uri="{FF2B5EF4-FFF2-40B4-BE49-F238E27FC236}">
                <a16:creationId xmlns:a16="http://schemas.microsoft.com/office/drawing/2014/main" id="{00000000-0008-0000-0100-00005C010000}"/>
              </a:ext>
            </a:extLst>
          </xdr:cNvPr>
          <xdr:cNvSpPr/>
        </xdr:nvSpPr>
        <xdr:spPr>
          <a:xfrm>
            <a:off x="13551877" y="9261186"/>
            <a:ext cx="338298" cy="163690"/>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7" name="Rectangle 346" hidden="1">
            <a:extLst>
              <a:ext uri="{FF2B5EF4-FFF2-40B4-BE49-F238E27FC236}">
                <a16:creationId xmlns:a16="http://schemas.microsoft.com/office/drawing/2014/main" id="{00000000-0008-0000-0100-00005B010000}"/>
              </a:ext>
            </a:extLst>
          </xdr:cNvPr>
          <xdr:cNvSpPr>
            <a:spLocks noChangeAspect="1"/>
          </xdr:cNvSpPr>
        </xdr:nvSpPr>
        <xdr:spPr>
          <a:xfrm>
            <a:off x="13506377" y="9215711"/>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49" name="Freeform 348" hidden="1">
            <a:extLst>
              <a:ext uri="{FF2B5EF4-FFF2-40B4-BE49-F238E27FC236}">
                <a16:creationId xmlns:a16="http://schemas.microsoft.com/office/drawing/2014/main" id="{00000000-0008-0000-0100-00005D010000}"/>
              </a:ext>
            </a:extLst>
          </xdr:cNvPr>
          <xdr:cNvSpPr/>
        </xdr:nvSpPr>
        <xdr:spPr>
          <a:xfrm>
            <a:off x="13551877" y="9427875"/>
            <a:ext cx="338298" cy="168448"/>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0" name="Rectangle 349" hidden="1">
            <a:extLst>
              <a:ext uri="{FF2B5EF4-FFF2-40B4-BE49-F238E27FC236}">
                <a16:creationId xmlns:a16="http://schemas.microsoft.com/office/drawing/2014/main" id="{00000000-0008-0000-0100-00005E010000}"/>
              </a:ext>
            </a:extLst>
          </xdr:cNvPr>
          <xdr:cNvSpPr>
            <a:spLocks noChangeAspect="1"/>
          </xdr:cNvSpPr>
        </xdr:nvSpPr>
        <xdr:spPr>
          <a:xfrm>
            <a:off x="13506377" y="9378187"/>
            <a:ext cx="91440" cy="93092"/>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228820</xdr:colOff>
      <xdr:row>41</xdr:row>
      <xdr:rowOff>39403</xdr:rowOff>
    </xdr:from>
    <xdr:to>
      <xdr:col>24</xdr:col>
      <xdr:colOff>3018</xdr:colOff>
      <xdr:row>42</xdr:row>
      <xdr:rowOff>82441</xdr:rowOff>
    </xdr:to>
    <xdr:grpSp>
      <xdr:nvGrpSpPr>
        <xdr:cNvPr id="107" name="V3.3ALSOFF2_group" hidden="1">
          <a:extLst>
            <a:ext uri="{FF2B5EF4-FFF2-40B4-BE49-F238E27FC236}">
              <a16:creationId xmlns:a16="http://schemas.microsoft.com/office/drawing/2014/main" id="{00000000-0008-0000-0100-00006B000000}"/>
            </a:ext>
          </a:extLst>
        </xdr:cNvPr>
        <xdr:cNvGrpSpPr/>
      </xdr:nvGrpSpPr>
      <xdr:grpSpPr>
        <a:xfrm>
          <a:off x="14198820" y="7312270"/>
          <a:ext cx="383798" cy="212371"/>
          <a:chOff x="13522256" y="7022094"/>
          <a:chExt cx="383798" cy="209292"/>
        </a:xfrm>
      </xdr:grpSpPr>
      <xdr:sp macro="" textlink="">
        <xdr:nvSpPr>
          <xdr:cNvPr id="397" name="Freeform 396">
            <a:extLst>
              <a:ext uri="{FF2B5EF4-FFF2-40B4-BE49-F238E27FC236}">
                <a16:creationId xmlns:a16="http://schemas.microsoft.com/office/drawing/2014/main" id="{00000000-0008-0000-0100-00008D010000}"/>
              </a:ext>
            </a:extLst>
          </xdr:cNvPr>
          <xdr:cNvSpPr/>
        </xdr:nvSpPr>
        <xdr:spPr>
          <a:xfrm>
            <a:off x="13567756" y="7079673"/>
            <a:ext cx="338298" cy="151713"/>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6" name="Rectangle 395">
            <a:extLst>
              <a:ext uri="{FF2B5EF4-FFF2-40B4-BE49-F238E27FC236}">
                <a16:creationId xmlns:a16="http://schemas.microsoft.com/office/drawing/2014/main" id="{00000000-0008-0000-0100-00008C010000}"/>
              </a:ext>
            </a:extLst>
          </xdr:cNvPr>
          <xdr:cNvSpPr>
            <a:spLocks noChangeAspect="1"/>
          </xdr:cNvSpPr>
        </xdr:nvSpPr>
        <xdr:spPr>
          <a:xfrm>
            <a:off x="13522256" y="7022094"/>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274320</xdr:colOff>
      <xdr:row>42</xdr:row>
      <xdr:rowOff>134363</xdr:rowOff>
    </xdr:from>
    <xdr:to>
      <xdr:col>24</xdr:col>
      <xdr:colOff>3018</xdr:colOff>
      <xdr:row>43</xdr:row>
      <xdr:rowOff>83741</xdr:rowOff>
    </xdr:to>
    <xdr:sp macro="" textlink="">
      <xdr:nvSpPr>
        <xdr:cNvPr id="353" name="Freeform 352">
          <a:extLst>
            <a:ext uri="{FF2B5EF4-FFF2-40B4-BE49-F238E27FC236}">
              <a16:creationId xmlns:a16="http://schemas.microsoft.com/office/drawing/2014/main" id="{00000000-0008-0000-0100-000061010000}"/>
            </a:ext>
          </a:extLst>
        </xdr:cNvPr>
        <xdr:cNvSpPr/>
      </xdr:nvSpPr>
      <xdr:spPr>
        <a:xfrm>
          <a:off x="13552170" y="7301926"/>
          <a:ext cx="338298" cy="116065"/>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228820</xdr:colOff>
      <xdr:row>45</xdr:row>
      <xdr:rowOff>44116</xdr:rowOff>
    </xdr:from>
    <xdr:to>
      <xdr:col>23</xdr:col>
      <xdr:colOff>320260</xdr:colOff>
      <xdr:row>45</xdr:row>
      <xdr:rowOff>135556</xdr:rowOff>
    </xdr:to>
    <xdr:sp macro="" textlink="">
      <xdr:nvSpPr>
        <xdr:cNvPr id="354" name="Rectangle 353">
          <a:extLst>
            <a:ext uri="{FF2B5EF4-FFF2-40B4-BE49-F238E27FC236}">
              <a16:creationId xmlns:a16="http://schemas.microsoft.com/office/drawing/2014/main" id="{00000000-0008-0000-0100-000062010000}"/>
            </a:ext>
          </a:extLst>
        </xdr:cNvPr>
        <xdr:cNvSpPr>
          <a:spLocks noChangeAspect="1"/>
        </xdr:cNvSpPr>
      </xdr:nvSpPr>
      <xdr:spPr>
        <a:xfrm>
          <a:off x="13391367" y="8117305"/>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228820</xdr:colOff>
      <xdr:row>42</xdr:row>
      <xdr:rowOff>47630</xdr:rowOff>
    </xdr:from>
    <xdr:to>
      <xdr:col>23</xdr:col>
      <xdr:colOff>320260</xdr:colOff>
      <xdr:row>42</xdr:row>
      <xdr:rowOff>139070</xdr:rowOff>
    </xdr:to>
    <xdr:sp macro="" textlink="">
      <xdr:nvSpPr>
        <xdr:cNvPr id="352" name="Rectangle 351">
          <a:extLst>
            <a:ext uri="{FF2B5EF4-FFF2-40B4-BE49-F238E27FC236}">
              <a16:creationId xmlns:a16="http://schemas.microsoft.com/office/drawing/2014/main" id="{00000000-0008-0000-0100-000060010000}"/>
            </a:ext>
          </a:extLst>
        </xdr:cNvPr>
        <xdr:cNvSpPr>
          <a:spLocks noChangeAspect="1"/>
        </xdr:cNvSpPr>
      </xdr:nvSpPr>
      <xdr:spPr>
        <a:xfrm>
          <a:off x="13378083" y="7215193"/>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0</xdr:colOff>
          <xdr:row>9</xdr:row>
          <xdr:rowOff>0</xdr:rowOff>
        </xdr:from>
        <xdr:to>
          <xdr:col>15</xdr:col>
          <xdr:colOff>160020</xdr:colOff>
          <xdr:row>9</xdr:row>
          <xdr:rowOff>152400</xdr:rowOff>
        </xdr:to>
        <xdr:sp macro="" textlink="">
          <xdr:nvSpPr>
            <xdr:cNvPr id="1176" name="Object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xdr:row>
          <xdr:rowOff>30480</xdr:rowOff>
        </xdr:from>
        <xdr:to>
          <xdr:col>5</xdr:col>
          <xdr:colOff>7620</xdr:colOff>
          <xdr:row>9</xdr:row>
          <xdr:rowOff>152400</xdr:rowOff>
        </xdr:to>
        <xdr:sp macro="" textlink="">
          <xdr:nvSpPr>
            <xdr:cNvPr id="1178" name="Connected Standby"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Connected Standby</a:t>
              </a:r>
            </a:p>
          </xdr:txBody>
        </xdr:sp>
        <xdr:clientData/>
      </xdr:twoCellAnchor>
    </mc:Choice>
    <mc:Fallback/>
  </mc:AlternateContent>
  <xdr:twoCellAnchor>
    <xdr:from>
      <xdr:col>14</xdr:col>
      <xdr:colOff>200838</xdr:colOff>
      <xdr:row>16</xdr:row>
      <xdr:rowOff>43543</xdr:rowOff>
    </xdr:from>
    <xdr:to>
      <xdr:col>24</xdr:col>
      <xdr:colOff>3018</xdr:colOff>
      <xdr:row>17</xdr:row>
      <xdr:rowOff>152387</xdr:rowOff>
    </xdr:to>
    <xdr:grpSp>
      <xdr:nvGrpSpPr>
        <xdr:cNvPr id="95" name="VccSFR_OC_Gate_group" hidden="1">
          <a:extLst>
            <a:ext uri="{FF2B5EF4-FFF2-40B4-BE49-F238E27FC236}">
              <a16:creationId xmlns:a16="http://schemas.microsoft.com/office/drawing/2014/main" id="{00000000-0008-0000-0100-00005F000000}"/>
            </a:ext>
          </a:extLst>
        </xdr:cNvPr>
        <xdr:cNvGrpSpPr/>
      </xdr:nvGrpSpPr>
      <xdr:grpSpPr>
        <a:xfrm>
          <a:off x="9319438" y="3083076"/>
          <a:ext cx="5263180" cy="278178"/>
          <a:chOff x="8653176" y="2909835"/>
          <a:chExt cx="5247550" cy="278785"/>
        </a:xfrm>
      </xdr:grpSpPr>
      <xdr:sp macro="" textlink="">
        <xdr:nvSpPr>
          <xdr:cNvPr id="317" name="Freeform 316" hidden="1">
            <a:extLst>
              <a:ext uri="{FF2B5EF4-FFF2-40B4-BE49-F238E27FC236}">
                <a16:creationId xmlns:a16="http://schemas.microsoft.com/office/drawing/2014/main" id="{00000000-0008-0000-0100-00003D010000}"/>
              </a:ext>
            </a:extLst>
          </xdr:cNvPr>
          <xdr:cNvSpPr/>
        </xdr:nvSpPr>
        <xdr:spPr>
          <a:xfrm>
            <a:off x="8700531" y="2969207"/>
            <a:ext cx="365321" cy="139979"/>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59" name="Straight Arrow Connector 158" hidden="1">
            <a:extLst>
              <a:ext uri="{FF2B5EF4-FFF2-40B4-BE49-F238E27FC236}">
                <a16:creationId xmlns:a16="http://schemas.microsoft.com/office/drawing/2014/main" id="{00000000-0008-0000-0100-00009F000000}"/>
              </a:ext>
            </a:extLst>
          </xdr:cNvPr>
          <xdr:cNvCxnSpPr/>
        </xdr:nvCxnSpPr>
        <xdr:spPr>
          <a:xfrm>
            <a:off x="13310801" y="3120201"/>
            <a:ext cx="589925"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1123" name="Object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9061671" y="3034944"/>
                <a:ext cx="159890" cy="153676"/>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66" name="Rectangle 365" hidden="1">
            <a:extLst>
              <a:ext uri="{FF2B5EF4-FFF2-40B4-BE49-F238E27FC236}">
                <a16:creationId xmlns:a16="http://schemas.microsoft.com/office/drawing/2014/main" id="{00000000-0008-0000-0100-00006E010000}"/>
              </a:ext>
            </a:extLst>
          </xdr:cNvPr>
          <xdr:cNvSpPr>
            <a:spLocks noChangeAspect="1"/>
          </xdr:cNvSpPr>
        </xdr:nvSpPr>
        <xdr:spPr>
          <a:xfrm>
            <a:off x="8653176" y="2909835"/>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6</xdr:col>
      <xdr:colOff>169724</xdr:colOff>
      <xdr:row>21</xdr:row>
      <xdr:rowOff>30473</xdr:rowOff>
    </xdr:from>
    <xdr:to>
      <xdr:col>24</xdr:col>
      <xdr:colOff>3018</xdr:colOff>
      <xdr:row>21</xdr:row>
      <xdr:rowOff>121913</xdr:rowOff>
    </xdr:to>
    <xdr:grpSp>
      <xdr:nvGrpSpPr>
        <xdr:cNvPr id="65" name="V2.5U_group" hidden="1">
          <a:extLst>
            <a:ext uri="{FF2B5EF4-FFF2-40B4-BE49-F238E27FC236}">
              <a16:creationId xmlns:a16="http://schemas.microsoft.com/office/drawing/2014/main" id="{00000000-0008-0000-0100-000041000000}"/>
            </a:ext>
          </a:extLst>
        </xdr:cNvPr>
        <xdr:cNvGrpSpPr/>
      </xdr:nvGrpSpPr>
      <xdr:grpSpPr>
        <a:xfrm>
          <a:off x="3522524" y="3916673"/>
          <a:ext cx="11060094" cy="91440"/>
          <a:chOff x="3374887" y="3697598"/>
          <a:chExt cx="10515581" cy="91440"/>
        </a:xfrm>
      </xdr:grpSpPr>
      <xdr:cxnSp macro="">
        <xdr:nvCxnSpPr>
          <xdr:cNvPr id="39" name="Straight Arrow Connector 38" hidden="1">
            <a:extLst>
              <a:ext uri="{FF2B5EF4-FFF2-40B4-BE49-F238E27FC236}">
                <a16:creationId xmlns:a16="http://schemas.microsoft.com/office/drawing/2014/main" id="{00000000-0008-0000-0100-000027000000}"/>
              </a:ext>
            </a:extLst>
          </xdr:cNvPr>
          <xdr:cNvCxnSpPr/>
        </xdr:nvCxnSpPr>
        <xdr:spPr>
          <a:xfrm>
            <a:off x="3432549" y="3747808"/>
            <a:ext cx="373567"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40" name="Rectangle 39" hidden="1">
            <a:extLst>
              <a:ext uri="{FF2B5EF4-FFF2-40B4-BE49-F238E27FC236}">
                <a16:creationId xmlns:a16="http://schemas.microsoft.com/office/drawing/2014/main" id="{00000000-0008-0000-0100-000028000000}"/>
              </a:ext>
            </a:extLst>
          </xdr:cNvPr>
          <xdr:cNvSpPr>
            <a:spLocks noChangeAspect="1"/>
          </xdr:cNvSpPr>
        </xdr:nvSpPr>
        <xdr:spPr>
          <a:xfrm>
            <a:off x="3374887" y="3697598"/>
            <a:ext cx="95379"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xnSp macro="">
        <xdr:nvCxnSpPr>
          <xdr:cNvPr id="369" name="Straight Arrow Connector 368" hidden="1">
            <a:extLst>
              <a:ext uri="{FF2B5EF4-FFF2-40B4-BE49-F238E27FC236}">
                <a16:creationId xmlns:a16="http://schemas.microsoft.com/office/drawing/2014/main" id="{00000000-0008-0000-0100-000071010000}"/>
              </a:ext>
            </a:extLst>
          </xdr:cNvPr>
          <xdr:cNvCxnSpPr/>
        </xdr:nvCxnSpPr>
        <xdr:spPr>
          <a:xfrm>
            <a:off x="8695157" y="3749514"/>
            <a:ext cx="5195311"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196936</xdr:colOff>
      <xdr:row>29</xdr:row>
      <xdr:rowOff>26019</xdr:rowOff>
    </xdr:from>
    <xdr:to>
      <xdr:col>24</xdr:col>
      <xdr:colOff>3018</xdr:colOff>
      <xdr:row>34</xdr:row>
      <xdr:rowOff>152400</xdr:rowOff>
    </xdr:to>
    <xdr:grpSp>
      <xdr:nvGrpSpPr>
        <xdr:cNvPr id="61" name="V1.8ULS2_group">
          <a:extLst>
            <a:ext uri="{FF2B5EF4-FFF2-40B4-BE49-F238E27FC236}">
              <a16:creationId xmlns:a16="http://schemas.microsoft.com/office/drawing/2014/main" id="{00000000-0008-0000-0100-00003D000000}"/>
            </a:ext>
          </a:extLst>
        </xdr:cNvPr>
        <xdr:cNvGrpSpPr/>
      </xdr:nvGrpSpPr>
      <xdr:grpSpPr>
        <a:xfrm>
          <a:off x="9315536" y="5266886"/>
          <a:ext cx="5267082" cy="973047"/>
          <a:chOff x="8642126" y="5040351"/>
          <a:chExt cx="5255312" cy="962705"/>
        </a:xfrm>
      </xdr:grpSpPr>
      <xdr:sp macro="" textlink="">
        <xdr:nvSpPr>
          <xdr:cNvPr id="319" name="Freeform 318">
            <a:extLst>
              <a:ext uri="{FF2B5EF4-FFF2-40B4-BE49-F238E27FC236}">
                <a16:creationId xmlns:a16="http://schemas.microsoft.com/office/drawing/2014/main" id="{00000000-0008-0000-0100-00003F010000}"/>
              </a:ext>
            </a:extLst>
          </xdr:cNvPr>
          <xdr:cNvSpPr/>
        </xdr:nvSpPr>
        <xdr:spPr>
          <a:xfrm>
            <a:off x="8688891" y="5110895"/>
            <a:ext cx="367317" cy="815978"/>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2" name="Straight Arrow Connector 231">
            <a:extLst>
              <a:ext uri="{FF2B5EF4-FFF2-40B4-BE49-F238E27FC236}">
                <a16:creationId xmlns:a16="http://schemas.microsoft.com/office/drawing/2014/main" id="{00000000-0008-0000-0100-0000E8000000}"/>
              </a:ext>
            </a:extLst>
          </xdr:cNvPr>
          <xdr:cNvCxnSpPr/>
        </xdr:nvCxnSpPr>
        <xdr:spPr>
          <a:xfrm>
            <a:off x="13295508" y="5944174"/>
            <a:ext cx="60193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1182" name="Object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9054790" y="5850661"/>
                <a:ext cx="160019" cy="152395"/>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83" name="Rectangle 382">
            <a:extLst>
              <a:ext uri="{FF2B5EF4-FFF2-40B4-BE49-F238E27FC236}">
                <a16:creationId xmlns:a16="http://schemas.microsoft.com/office/drawing/2014/main" id="{00000000-0008-0000-0100-00007F010000}"/>
              </a:ext>
            </a:extLst>
          </xdr:cNvPr>
          <xdr:cNvSpPr>
            <a:spLocks noChangeAspect="1"/>
          </xdr:cNvSpPr>
        </xdr:nvSpPr>
        <xdr:spPr>
          <a:xfrm>
            <a:off x="8642126" y="5040351"/>
            <a:ext cx="91440" cy="91440"/>
          </a:xfrm>
          <a:prstGeom prst="rect">
            <a:avLst/>
          </a:prstGeom>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14</xdr:col>
      <xdr:colOff>196973</xdr:colOff>
      <xdr:row>29</xdr:row>
      <xdr:rowOff>26137</xdr:rowOff>
    </xdr:from>
    <xdr:to>
      <xdr:col>24</xdr:col>
      <xdr:colOff>3082</xdr:colOff>
      <xdr:row>33</xdr:row>
      <xdr:rowOff>152402</xdr:rowOff>
    </xdr:to>
    <xdr:grpSp>
      <xdr:nvGrpSpPr>
        <xdr:cNvPr id="64" name="V1.8S_Group3_Gated" hidden="1">
          <a:extLst>
            <a:ext uri="{FF2B5EF4-FFF2-40B4-BE49-F238E27FC236}">
              <a16:creationId xmlns:a16="http://schemas.microsoft.com/office/drawing/2014/main" id="{00000000-0008-0000-0100-000040000000}"/>
            </a:ext>
          </a:extLst>
        </xdr:cNvPr>
        <xdr:cNvGrpSpPr/>
      </xdr:nvGrpSpPr>
      <xdr:grpSpPr>
        <a:xfrm>
          <a:off x="9315573" y="5267004"/>
          <a:ext cx="5267109" cy="803598"/>
          <a:chOff x="8642126" y="5040456"/>
          <a:chExt cx="5255317" cy="795330"/>
        </a:xfrm>
      </xdr:grpSpPr>
      <mc:AlternateContent xmlns:mc="http://schemas.openxmlformats.org/markup-compatibility/2006">
        <mc:Choice xmlns:a14="http://schemas.microsoft.com/office/drawing/2010/main" Requires="a14">
          <xdr:sp macro="" textlink="">
            <xdr:nvSpPr>
              <xdr:cNvPr id="1186" name="Object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9054750" y="5683383"/>
                <a:ext cx="160019" cy="152403"/>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58" name="Straight Arrow Connector 357" hidden="1">
            <a:extLst>
              <a:ext uri="{FF2B5EF4-FFF2-40B4-BE49-F238E27FC236}">
                <a16:creationId xmlns:a16="http://schemas.microsoft.com/office/drawing/2014/main" id="{00000000-0008-0000-0100-000066010000}"/>
              </a:ext>
            </a:extLst>
          </xdr:cNvPr>
          <xdr:cNvCxnSpPr/>
        </xdr:nvCxnSpPr>
        <xdr:spPr>
          <a:xfrm>
            <a:off x="13294815" y="5766093"/>
            <a:ext cx="602628"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73" name="Freeform 372" hidden="1">
            <a:extLst>
              <a:ext uri="{FF2B5EF4-FFF2-40B4-BE49-F238E27FC236}">
                <a16:creationId xmlns:a16="http://schemas.microsoft.com/office/drawing/2014/main" id="{00000000-0008-0000-0100-000075010000}"/>
              </a:ext>
            </a:extLst>
          </xdr:cNvPr>
          <xdr:cNvSpPr/>
        </xdr:nvSpPr>
        <xdr:spPr>
          <a:xfrm>
            <a:off x="8688855" y="5084340"/>
            <a:ext cx="367274" cy="672981"/>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0" name="Rectangle 359" hidden="1">
            <a:extLst>
              <a:ext uri="{FF2B5EF4-FFF2-40B4-BE49-F238E27FC236}">
                <a16:creationId xmlns:a16="http://schemas.microsoft.com/office/drawing/2014/main" id="{00000000-0008-0000-0100-000068010000}"/>
              </a:ext>
            </a:extLst>
          </xdr:cNvPr>
          <xdr:cNvSpPr>
            <a:spLocks noChangeAspect="1"/>
          </xdr:cNvSpPr>
        </xdr:nvSpPr>
        <xdr:spPr>
          <a:xfrm>
            <a:off x="8642161" y="5713306"/>
            <a:ext cx="91430" cy="91262"/>
          </a:xfrm>
          <a:prstGeom prst="rect">
            <a:avLst/>
          </a:prstGeom>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361" name="Rectangle 360" hidden="1">
            <a:extLst>
              <a:ext uri="{FF2B5EF4-FFF2-40B4-BE49-F238E27FC236}">
                <a16:creationId xmlns:a16="http://schemas.microsoft.com/office/drawing/2014/main" id="{00000000-0008-0000-0100-000069010000}"/>
              </a:ext>
            </a:extLst>
          </xdr:cNvPr>
          <xdr:cNvSpPr>
            <a:spLocks noChangeAspect="1"/>
          </xdr:cNvSpPr>
        </xdr:nvSpPr>
        <xdr:spPr>
          <a:xfrm>
            <a:off x="8642126" y="5040456"/>
            <a:ext cx="91440" cy="91410"/>
          </a:xfrm>
          <a:prstGeom prst="rect">
            <a:avLst/>
          </a:prstGeom>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14</xdr:col>
      <xdr:colOff>196936</xdr:colOff>
      <xdr:row>29</xdr:row>
      <xdr:rowOff>27436</xdr:rowOff>
    </xdr:from>
    <xdr:to>
      <xdr:col>24</xdr:col>
      <xdr:colOff>3018</xdr:colOff>
      <xdr:row>32</xdr:row>
      <xdr:rowOff>153151</xdr:rowOff>
    </xdr:to>
    <xdr:grpSp>
      <xdr:nvGrpSpPr>
        <xdr:cNvPr id="60" name="V1.8S_Group2_Gated">
          <a:extLst>
            <a:ext uri="{FF2B5EF4-FFF2-40B4-BE49-F238E27FC236}">
              <a16:creationId xmlns:a16="http://schemas.microsoft.com/office/drawing/2014/main" id="{00000000-0008-0000-0100-00003C000000}"/>
            </a:ext>
          </a:extLst>
        </xdr:cNvPr>
        <xdr:cNvGrpSpPr/>
      </xdr:nvGrpSpPr>
      <xdr:grpSpPr>
        <a:xfrm>
          <a:off x="9315536" y="5268303"/>
          <a:ext cx="5267082" cy="633715"/>
          <a:chOff x="8655136" y="5050536"/>
          <a:chExt cx="5255906" cy="627931"/>
        </a:xfrm>
      </xdr:grpSpPr>
      <mc:AlternateContent xmlns:mc="http://schemas.openxmlformats.org/markup-compatibility/2006">
        <mc:Choice xmlns:a14="http://schemas.microsoft.com/office/drawing/2010/main" Requires="a14">
          <xdr:sp macro="" textlink="">
            <xdr:nvSpPr>
              <xdr:cNvPr id="1185" name="Object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9067800" y="5526067"/>
                <a:ext cx="160020" cy="15240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77" name="Freeform 376">
            <a:extLst>
              <a:ext uri="{FF2B5EF4-FFF2-40B4-BE49-F238E27FC236}">
                <a16:creationId xmlns:a16="http://schemas.microsoft.com/office/drawing/2014/main" id="{00000000-0008-0000-0100-000079010000}"/>
              </a:ext>
            </a:extLst>
          </xdr:cNvPr>
          <xdr:cNvSpPr/>
        </xdr:nvSpPr>
        <xdr:spPr>
          <a:xfrm>
            <a:off x="8701901" y="5096256"/>
            <a:ext cx="367317" cy="502920"/>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6" name="Rectangle 375">
            <a:extLst>
              <a:ext uri="{FF2B5EF4-FFF2-40B4-BE49-F238E27FC236}">
                <a16:creationId xmlns:a16="http://schemas.microsoft.com/office/drawing/2014/main" id="{00000000-0008-0000-0100-000078010000}"/>
              </a:ext>
            </a:extLst>
          </xdr:cNvPr>
          <xdr:cNvSpPr>
            <a:spLocks noChangeAspect="1"/>
          </xdr:cNvSpPr>
        </xdr:nvSpPr>
        <xdr:spPr>
          <a:xfrm>
            <a:off x="8655136" y="5050536"/>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xnSp macro="">
        <xdr:nvCxnSpPr>
          <xdr:cNvPr id="378" name="Straight Arrow Connector 377">
            <a:extLst>
              <a:ext uri="{FF2B5EF4-FFF2-40B4-BE49-F238E27FC236}">
                <a16:creationId xmlns:a16="http://schemas.microsoft.com/office/drawing/2014/main" id="{00000000-0008-0000-0100-00007A010000}"/>
              </a:ext>
            </a:extLst>
          </xdr:cNvPr>
          <xdr:cNvCxnSpPr/>
        </xdr:nvCxnSpPr>
        <xdr:spPr>
          <a:xfrm>
            <a:off x="13308343" y="5608252"/>
            <a:ext cx="602699"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81" name="Freeform 380">
            <a:extLst>
              <a:ext uri="{FF2B5EF4-FFF2-40B4-BE49-F238E27FC236}">
                <a16:creationId xmlns:a16="http://schemas.microsoft.com/office/drawing/2014/main" id="{00000000-0008-0000-0100-00007D010000}"/>
              </a:ext>
            </a:extLst>
          </xdr:cNvPr>
          <xdr:cNvSpPr/>
        </xdr:nvSpPr>
        <xdr:spPr>
          <a:xfrm>
            <a:off x="13572744" y="5280788"/>
            <a:ext cx="338298" cy="161304"/>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2" name="Rectangle 381">
            <a:extLst>
              <a:ext uri="{FF2B5EF4-FFF2-40B4-BE49-F238E27FC236}">
                <a16:creationId xmlns:a16="http://schemas.microsoft.com/office/drawing/2014/main" id="{00000000-0008-0000-0100-00007E010000}"/>
              </a:ext>
            </a:extLst>
          </xdr:cNvPr>
          <xdr:cNvSpPr>
            <a:spLocks noChangeAspect="1"/>
          </xdr:cNvSpPr>
        </xdr:nvSpPr>
        <xdr:spPr>
          <a:xfrm>
            <a:off x="13527244" y="5233416"/>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14</xdr:col>
      <xdr:colOff>196940</xdr:colOff>
      <xdr:row>29</xdr:row>
      <xdr:rowOff>31530</xdr:rowOff>
    </xdr:from>
    <xdr:to>
      <xdr:col>24</xdr:col>
      <xdr:colOff>5779</xdr:colOff>
      <xdr:row>31</xdr:row>
      <xdr:rowOff>153128</xdr:rowOff>
    </xdr:to>
    <xdr:grpSp>
      <xdr:nvGrpSpPr>
        <xdr:cNvPr id="4" name="V1.8S_Group1_Gated" hidden="1">
          <a:extLst>
            <a:ext uri="{FF2B5EF4-FFF2-40B4-BE49-F238E27FC236}">
              <a16:creationId xmlns:a16="http://schemas.microsoft.com/office/drawing/2014/main" id="{00000000-0008-0000-0100-000004000000}"/>
            </a:ext>
          </a:extLst>
        </xdr:cNvPr>
        <xdr:cNvGrpSpPr/>
      </xdr:nvGrpSpPr>
      <xdr:grpSpPr>
        <a:xfrm>
          <a:off x="9315540" y="5272397"/>
          <a:ext cx="5269839" cy="460264"/>
          <a:chOff x="8642130" y="5213130"/>
          <a:chExt cx="5258069" cy="456120"/>
        </a:xfrm>
      </xdr:grpSpPr>
      <xdr:sp macro="" textlink="">
        <xdr:nvSpPr>
          <xdr:cNvPr id="370" name="Freeform 369" hidden="1">
            <a:extLst>
              <a:ext uri="{FF2B5EF4-FFF2-40B4-BE49-F238E27FC236}">
                <a16:creationId xmlns:a16="http://schemas.microsoft.com/office/drawing/2014/main" id="{00000000-0008-0000-0100-000072010000}"/>
              </a:ext>
            </a:extLst>
          </xdr:cNvPr>
          <xdr:cNvSpPr/>
        </xdr:nvSpPr>
        <xdr:spPr>
          <a:xfrm>
            <a:off x="8688894" y="5259739"/>
            <a:ext cx="367343" cy="329937"/>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184" name="Object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9054821" y="5516837"/>
                <a:ext cx="160032" cy="152413"/>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277" name="Straight Arrow Connector 276" hidden="1">
            <a:extLst>
              <a:ext uri="{FF2B5EF4-FFF2-40B4-BE49-F238E27FC236}">
                <a16:creationId xmlns:a16="http://schemas.microsoft.com/office/drawing/2014/main" id="{00000000-0008-0000-0100-000015010000}"/>
              </a:ext>
            </a:extLst>
          </xdr:cNvPr>
          <xdr:cNvCxnSpPr/>
        </xdr:nvCxnSpPr>
        <xdr:spPr>
          <a:xfrm>
            <a:off x="13297456" y="5602145"/>
            <a:ext cx="602743"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79" name="Rectangle 278" hidden="1">
            <a:extLst>
              <a:ext uri="{FF2B5EF4-FFF2-40B4-BE49-F238E27FC236}">
                <a16:creationId xmlns:a16="http://schemas.microsoft.com/office/drawing/2014/main" id="{00000000-0008-0000-0100-000017010000}"/>
              </a:ext>
            </a:extLst>
          </xdr:cNvPr>
          <xdr:cNvSpPr>
            <a:spLocks noChangeAspect="1"/>
          </xdr:cNvSpPr>
        </xdr:nvSpPr>
        <xdr:spPr>
          <a:xfrm>
            <a:off x="8644887" y="5546972"/>
            <a:ext cx="91436" cy="90938"/>
          </a:xfrm>
          <a:prstGeom prst="rect">
            <a:avLst/>
          </a:prstGeom>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90" name="Rectangle 289" hidden="1">
            <a:extLst>
              <a:ext uri="{FF2B5EF4-FFF2-40B4-BE49-F238E27FC236}">
                <a16:creationId xmlns:a16="http://schemas.microsoft.com/office/drawing/2014/main" id="{00000000-0008-0000-0100-000022010000}"/>
              </a:ext>
            </a:extLst>
          </xdr:cNvPr>
          <xdr:cNvSpPr>
            <a:spLocks noChangeAspect="1"/>
          </xdr:cNvSpPr>
        </xdr:nvSpPr>
        <xdr:spPr>
          <a:xfrm>
            <a:off x="8642130" y="5213130"/>
            <a:ext cx="91436" cy="90938"/>
          </a:xfrm>
          <a:prstGeom prst="rect">
            <a:avLst/>
          </a:prstGeom>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oneCellAnchor>
    <xdr:from>
      <xdr:col>29</xdr:col>
      <xdr:colOff>31750</xdr:colOff>
      <xdr:row>59</xdr:row>
      <xdr:rowOff>0</xdr:rowOff>
    </xdr:from>
    <xdr:ext cx="184731" cy="264560"/>
    <xdr:sp macro="" textlink="">
      <xdr:nvSpPr>
        <xdr:cNvPr id="384" name="TextBox 383">
          <a:extLst>
            <a:ext uri="{FF2B5EF4-FFF2-40B4-BE49-F238E27FC236}">
              <a16:creationId xmlns:a16="http://schemas.microsoft.com/office/drawing/2014/main" id="{00000000-0008-0000-0100-000080010000}"/>
            </a:ext>
          </a:extLst>
        </xdr:cNvPr>
        <xdr:cNvSpPr txBox="1"/>
      </xdr:nvSpPr>
      <xdr:spPr>
        <a:xfrm>
          <a:off x="17385472" y="106083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twoCellAnchor>
    <xdr:from>
      <xdr:col>14</xdr:col>
      <xdr:colOff>197759</xdr:colOff>
      <xdr:row>9</xdr:row>
      <xdr:rowOff>28578</xdr:rowOff>
    </xdr:from>
    <xdr:to>
      <xdr:col>14</xdr:col>
      <xdr:colOff>289792</xdr:colOff>
      <xdr:row>9</xdr:row>
      <xdr:rowOff>123680</xdr:rowOff>
    </xdr:to>
    <xdr:sp macro="" textlink="">
      <xdr:nvSpPr>
        <xdr:cNvPr id="214" name="Rectangle 213" hidden="1">
          <a:extLst>
            <a:ext uri="{FF2B5EF4-FFF2-40B4-BE49-F238E27FC236}">
              <a16:creationId xmlns:a16="http://schemas.microsoft.com/office/drawing/2014/main" id="{00000000-0008-0000-0100-0000D6000000}"/>
            </a:ext>
          </a:extLst>
        </xdr:cNvPr>
        <xdr:cNvSpPr>
          <a:spLocks noChangeAspect="1"/>
        </xdr:cNvSpPr>
      </xdr:nvSpPr>
      <xdr:spPr>
        <a:xfrm>
          <a:off x="8389259" y="1925295"/>
          <a:ext cx="92033" cy="95102"/>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196936</xdr:colOff>
      <xdr:row>9</xdr:row>
      <xdr:rowOff>77392</xdr:rowOff>
    </xdr:from>
    <xdr:to>
      <xdr:col>24</xdr:col>
      <xdr:colOff>3018</xdr:colOff>
      <xdr:row>10</xdr:row>
      <xdr:rowOff>152400</xdr:rowOff>
    </xdr:to>
    <xdr:grpSp>
      <xdr:nvGrpSpPr>
        <xdr:cNvPr id="5" name="VccSTG_Gate_group">
          <a:extLst>
            <a:ext uri="{FF2B5EF4-FFF2-40B4-BE49-F238E27FC236}">
              <a16:creationId xmlns:a16="http://schemas.microsoft.com/office/drawing/2014/main" id="{00000000-0008-0000-0100-000005000000}"/>
            </a:ext>
          </a:extLst>
        </xdr:cNvPr>
        <xdr:cNvGrpSpPr/>
      </xdr:nvGrpSpPr>
      <xdr:grpSpPr>
        <a:xfrm>
          <a:off x="9315536" y="1931592"/>
          <a:ext cx="5267082" cy="244341"/>
          <a:chOff x="8388436" y="1974109"/>
          <a:chExt cx="5106952" cy="248933"/>
        </a:xfrm>
      </xdr:grpSpPr>
      <xdr:sp macro="" textlink="">
        <xdr:nvSpPr>
          <xdr:cNvPr id="212" name="Freeform 211">
            <a:extLst>
              <a:ext uri="{FF2B5EF4-FFF2-40B4-BE49-F238E27FC236}">
                <a16:creationId xmlns:a16="http://schemas.microsoft.com/office/drawing/2014/main" id="{00000000-0008-0000-0100-0000D4000000}"/>
              </a:ext>
            </a:extLst>
          </xdr:cNvPr>
          <xdr:cNvSpPr/>
        </xdr:nvSpPr>
        <xdr:spPr>
          <a:xfrm>
            <a:off x="8436537" y="1974109"/>
            <a:ext cx="357710" cy="172904"/>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122" name="Object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8790270" y="2066829"/>
                <a:ext cx="155812" cy="156213"/>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385" name="Straight Arrow Connector 384">
            <a:extLst>
              <a:ext uri="{FF2B5EF4-FFF2-40B4-BE49-F238E27FC236}">
                <a16:creationId xmlns:a16="http://schemas.microsoft.com/office/drawing/2014/main" id="{00000000-0008-0000-0100-000081010000}"/>
              </a:ext>
            </a:extLst>
          </xdr:cNvPr>
          <xdr:cNvCxnSpPr/>
        </xdr:nvCxnSpPr>
        <xdr:spPr>
          <a:xfrm>
            <a:off x="12908538" y="2154728"/>
            <a:ext cx="586850"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31" name="Rectangle 330">
            <a:extLst>
              <a:ext uri="{FF2B5EF4-FFF2-40B4-BE49-F238E27FC236}">
                <a16:creationId xmlns:a16="http://schemas.microsoft.com/office/drawing/2014/main" id="{00000000-0008-0000-0100-00004B010000}"/>
              </a:ext>
            </a:extLst>
          </xdr:cNvPr>
          <xdr:cNvSpPr>
            <a:spLocks noChangeAspect="1"/>
          </xdr:cNvSpPr>
        </xdr:nvSpPr>
        <xdr:spPr>
          <a:xfrm>
            <a:off x="8388436" y="2095503"/>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228769</xdr:colOff>
      <xdr:row>9</xdr:row>
      <xdr:rowOff>38096</xdr:rowOff>
    </xdr:from>
    <xdr:to>
      <xdr:col>24</xdr:col>
      <xdr:colOff>3019</xdr:colOff>
      <xdr:row>10</xdr:row>
      <xdr:rowOff>85611</xdr:rowOff>
    </xdr:to>
    <xdr:grpSp>
      <xdr:nvGrpSpPr>
        <xdr:cNvPr id="69" name="VccSTG_gate_off_group" hidden="1">
          <a:extLst>
            <a:ext uri="{FF2B5EF4-FFF2-40B4-BE49-F238E27FC236}">
              <a16:creationId xmlns:a16="http://schemas.microsoft.com/office/drawing/2014/main" id="{00000000-0008-0000-0100-000045000000}"/>
            </a:ext>
          </a:extLst>
        </xdr:cNvPr>
        <xdr:cNvGrpSpPr/>
      </xdr:nvGrpSpPr>
      <xdr:grpSpPr>
        <a:xfrm>
          <a:off x="14198769" y="1892296"/>
          <a:ext cx="383850" cy="216848"/>
          <a:chOff x="13506777" y="1871659"/>
          <a:chExt cx="383691" cy="214202"/>
        </a:xfrm>
      </xdr:grpSpPr>
      <xdr:sp macro="" textlink="">
        <xdr:nvSpPr>
          <xdr:cNvPr id="386" name="Freeform 385" hidden="1">
            <a:extLst>
              <a:ext uri="{FF2B5EF4-FFF2-40B4-BE49-F238E27FC236}">
                <a16:creationId xmlns:a16="http://schemas.microsoft.com/office/drawing/2014/main" id="{00000000-0008-0000-0100-000082010000}"/>
              </a:ext>
            </a:extLst>
          </xdr:cNvPr>
          <xdr:cNvSpPr/>
        </xdr:nvSpPr>
        <xdr:spPr>
          <a:xfrm>
            <a:off x="13552170" y="1914525"/>
            <a:ext cx="338298" cy="171336"/>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7" name="Rectangle 386" hidden="1">
            <a:extLst>
              <a:ext uri="{FF2B5EF4-FFF2-40B4-BE49-F238E27FC236}">
                <a16:creationId xmlns:a16="http://schemas.microsoft.com/office/drawing/2014/main" id="{00000000-0008-0000-0100-000083010000}"/>
              </a:ext>
            </a:extLst>
          </xdr:cNvPr>
          <xdr:cNvSpPr>
            <a:spLocks noChangeAspect="1"/>
          </xdr:cNvSpPr>
        </xdr:nvSpPr>
        <xdr:spPr>
          <a:xfrm>
            <a:off x="13506777" y="1871659"/>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228820</xdr:colOff>
      <xdr:row>25</xdr:row>
      <xdr:rowOff>43348</xdr:rowOff>
    </xdr:from>
    <xdr:to>
      <xdr:col>23</xdr:col>
      <xdr:colOff>320260</xdr:colOff>
      <xdr:row>25</xdr:row>
      <xdr:rowOff>133309</xdr:rowOff>
    </xdr:to>
    <xdr:sp macro="" textlink="">
      <xdr:nvSpPr>
        <xdr:cNvPr id="389" name="Rectangle 388">
          <a:extLst>
            <a:ext uri="{FF2B5EF4-FFF2-40B4-BE49-F238E27FC236}">
              <a16:creationId xmlns:a16="http://schemas.microsoft.com/office/drawing/2014/main" id="{00000000-0008-0000-0100-000085010000}"/>
            </a:ext>
          </a:extLst>
        </xdr:cNvPr>
        <xdr:cNvSpPr>
          <a:spLocks noChangeAspect="1"/>
        </xdr:cNvSpPr>
      </xdr:nvSpPr>
      <xdr:spPr>
        <a:xfrm>
          <a:off x="14195191" y="4473834"/>
          <a:ext cx="91440" cy="89961"/>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23</xdr:col>
      <xdr:colOff>228820</xdr:colOff>
      <xdr:row>30</xdr:row>
      <xdr:rowOff>42854</xdr:rowOff>
    </xdr:from>
    <xdr:to>
      <xdr:col>24</xdr:col>
      <xdr:colOff>3018</xdr:colOff>
      <xdr:row>31</xdr:row>
      <xdr:rowOff>84854</xdr:rowOff>
    </xdr:to>
    <xdr:grpSp>
      <xdr:nvGrpSpPr>
        <xdr:cNvPr id="74" name="V1.8S_Group1_Ungated">
          <a:extLst>
            <a:ext uri="{FF2B5EF4-FFF2-40B4-BE49-F238E27FC236}">
              <a16:creationId xmlns:a16="http://schemas.microsoft.com/office/drawing/2014/main" id="{00000000-0008-0000-0100-00004A000000}"/>
            </a:ext>
          </a:extLst>
        </xdr:cNvPr>
        <xdr:cNvGrpSpPr/>
      </xdr:nvGrpSpPr>
      <xdr:grpSpPr>
        <a:xfrm>
          <a:off x="14198820" y="5453054"/>
          <a:ext cx="383798" cy="211333"/>
          <a:chOff x="13522256" y="5196745"/>
          <a:chExt cx="383798" cy="208254"/>
        </a:xfrm>
      </xdr:grpSpPr>
      <xdr:sp macro="" textlink="">
        <xdr:nvSpPr>
          <xdr:cNvPr id="390" name="Freeform 389">
            <a:extLst>
              <a:ext uri="{FF2B5EF4-FFF2-40B4-BE49-F238E27FC236}">
                <a16:creationId xmlns:a16="http://schemas.microsoft.com/office/drawing/2014/main" id="{00000000-0008-0000-0100-000086010000}"/>
              </a:ext>
            </a:extLst>
          </xdr:cNvPr>
          <xdr:cNvSpPr/>
        </xdr:nvSpPr>
        <xdr:spPr>
          <a:xfrm>
            <a:off x="13567756" y="5245080"/>
            <a:ext cx="338298" cy="159919"/>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1" name="Rectangle 390">
            <a:extLst>
              <a:ext uri="{FF2B5EF4-FFF2-40B4-BE49-F238E27FC236}">
                <a16:creationId xmlns:a16="http://schemas.microsoft.com/office/drawing/2014/main" id="{00000000-0008-0000-0100-000087010000}"/>
              </a:ext>
            </a:extLst>
          </xdr:cNvPr>
          <xdr:cNvSpPr>
            <a:spLocks noChangeAspect="1"/>
          </xdr:cNvSpPr>
        </xdr:nvSpPr>
        <xdr:spPr>
          <a:xfrm>
            <a:off x="13522256" y="5196745"/>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228820</xdr:colOff>
      <xdr:row>31</xdr:row>
      <xdr:rowOff>38844</xdr:rowOff>
    </xdr:from>
    <xdr:to>
      <xdr:col>24</xdr:col>
      <xdr:colOff>3018</xdr:colOff>
      <xdr:row>32</xdr:row>
      <xdr:rowOff>88865</xdr:rowOff>
    </xdr:to>
    <xdr:grpSp>
      <xdr:nvGrpSpPr>
        <xdr:cNvPr id="77" name="V1.8S_Group2_Ungated" hidden="1">
          <a:extLst>
            <a:ext uri="{FF2B5EF4-FFF2-40B4-BE49-F238E27FC236}">
              <a16:creationId xmlns:a16="http://schemas.microsoft.com/office/drawing/2014/main" id="{00000000-0008-0000-0100-00004D000000}"/>
            </a:ext>
          </a:extLst>
        </xdr:cNvPr>
        <xdr:cNvGrpSpPr/>
      </xdr:nvGrpSpPr>
      <xdr:grpSpPr>
        <a:xfrm>
          <a:off x="14198820" y="5618377"/>
          <a:ext cx="383798" cy="219355"/>
          <a:chOff x="13522256" y="5358989"/>
          <a:chExt cx="383798" cy="216276"/>
        </a:xfrm>
      </xdr:grpSpPr>
      <xdr:sp macro="" textlink="">
        <xdr:nvSpPr>
          <xdr:cNvPr id="392" name="Freeform 391" hidden="1">
            <a:extLst>
              <a:ext uri="{FF2B5EF4-FFF2-40B4-BE49-F238E27FC236}">
                <a16:creationId xmlns:a16="http://schemas.microsoft.com/office/drawing/2014/main" id="{00000000-0008-0000-0100-000088010000}"/>
              </a:ext>
            </a:extLst>
          </xdr:cNvPr>
          <xdr:cNvSpPr/>
        </xdr:nvSpPr>
        <xdr:spPr>
          <a:xfrm>
            <a:off x="13567756" y="5415346"/>
            <a:ext cx="338298" cy="159919"/>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3" name="Rectangle 392" hidden="1">
            <a:extLst>
              <a:ext uri="{FF2B5EF4-FFF2-40B4-BE49-F238E27FC236}">
                <a16:creationId xmlns:a16="http://schemas.microsoft.com/office/drawing/2014/main" id="{00000000-0008-0000-0100-000089010000}"/>
              </a:ext>
            </a:extLst>
          </xdr:cNvPr>
          <xdr:cNvSpPr>
            <a:spLocks noChangeAspect="1"/>
          </xdr:cNvSpPr>
        </xdr:nvSpPr>
        <xdr:spPr>
          <a:xfrm>
            <a:off x="13522256" y="5358989"/>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228820</xdr:colOff>
      <xdr:row>32</xdr:row>
      <xdr:rowOff>38843</xdr:rowOff>
    </xdr:from>
    <xdr:to>
      <xdr:col>24</xdr:col>
      <xdr:colOff>3018</xdr:colOff>
      <xdr:row>33</xdr:row>
      <xdr:rowOff>80843</xdr:rowOff>
    </xdr:to>
    <xdr:grpSp>
      <xdr:nvGrpSpPr>
        <xdr:cNvPr id="78" name="V1.8S_Group3_Ungated">
          <a:extLst>
            <a:ext uri="{FF2B5EF4-FFF2-40B4-BE49-F238E27FC236}">
              <a16:creationId xmlns:a16="http://schemas.microsoft.com/office/drawing/2014/main" id="{00000000-0008-0000-0100-00004E000000}"/>
            </a:ext>
          </a:extLst>
        </xdr:cNvPr>
        <xdr:cNvGrpSpPr/>
      </xdr:nvGrpSpPr>
      <xdr:grpSpPr>
        <a:xfrm>
          <a:off x="14198820" y="5787710"/>
          <a:ext cx="383798" cy="211333"/>
          <a:chOff x="13522256" y="5525243"/>
          <a:chExt cx="383798" cy="208255"/>
        </a:xfrm>
      </xdr:grpSpPr>
      <xdr:sp macro="" textlink="">
        <xdr:nvSpPr>
          <xdr:cNvPr id="394" name="Freeform 393">
            <a:extLst>
              <a:ext uri="{FF2B5EF4-FFF2-40B4-BE49-F238E27FC236}">
                <a16:creationId xmlns:a16="http://schemas.microsoft.com/office/drawing/2014/main" id="{00000000-0008-0000-0100-00008A010000}"/>
              </a:ext>
            </a:extLst>
          </xdr:cNvPr>
          <xdr:cNvSpPr/>
        </xdr:nvSpPr>
        <xdr:spPr>
          <a:xfrm>
            <a:off x="13567756" y="5573578"/>
            <a:ext cx="338298" cy="159920"/>
          </a:xfrm>
          <a:custGeom>
            <a:avLst/>
            <a:gdLst>
              <a:gd name="connsiteX0" fmla="*/ 0 w 351235"/>
              <a:gd name="connsiteY0" fmla="*/ 0 h 1369219"/>
              <a:gd name="connsiteX1" fmla="*/ 0 w 351235"/>
              <a:gd name="connsiteY1" fmla="*/ 1369219 h 1369219"/>
              <a:gd name="connsiteX2" fmla="*/ 351235 w 351235"/>
              <a:gd name="connsiteY2" fmla="*/ 1369219 h 1369219"/>
            </a:gdLst>
            <a:ahLst/>
            <a:cxnLst>
              <a:cxn ang="0">
                <a:pos x="connsiteX0" y="connsiteY0"/>
              </a:cxn>
              <a:cxn ang="0">
                <a:pos x="connsiteX1" y="connsiteY1"/>
              </a:cxn>
              <a:cxn ang="0">
                <a:pos x="connsiteX2" y="connsiteY2"/>
              </a:cxn>
            </a:cxnLst>
            <a:rect l="l" t="t" r="r" b="b"/>
            <a:pathLst>
              <a:path w="351235" h="1369219">
                <a:moveTo>
                  <a:pt x="0" y="0"/>
                </a:moveTo>
                <a:lnTo>
                  <a:pt x="0" y="1369219"/>
                </a:lnTo>
                <a:lnTo>
                  <a:pt x="351235" y="1369219"/>
                </a:lnTo>
              </a:path>
            </a:pathLst>
          </a:custGeom>
          <a:noFill/>
          <a:ln w="38100">
            <a:solidFill>
              <a:schemeClr val="tx1"/>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5" name="Rectangle 394">
            <a:extLst>
              <a:ext uri="{FF2B5EF4-FFF2-40B4-BE49-F238E27FC236}">
                <a16:creationId xmlns:a16="http://schemas.microsoft.com/office/drawing/2014/main" id="{00000000-0008-0000-0100-00008B010000}"/>
              </a:ext>
            </a:extLst>
          </xdr:cNvPr>
          <xdr:cNvSpPr>
            <a:spLocks noChangeAspect="1"/>
          </xdr:cNvSpPr>
        </xdr:nvSpPr>
        <xdr:spPr>
          <a:xfrm>
            <a:off x="13522256" y="5525243"/>
            <a:ext cx="91440" cy="91440"/>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14</xdr:col>
      <xdr:colOff>196936</xdr:colOff>
      <xdr:row>9</xdr:row>
      <xdr:rowOff>30760</xdr:rowOff>
    </xdr:from>
    <xdr:to>
      <xdr:col>14</xdr:col>
      <xdr:colOff>288376</xdr:colOff>
      <xdr:row>9</xdr:row>
      <xdr:rowOff>119762</xdr:rowOff>
    </xdr:to>
    <xdr:sp macro="" textlink="">
      <xdr:nvSpPr>
        <xdr:cNvPr id="326" name="Rectangle 325">
          <a:extLst>
            <a:ext uri="{FF2B5EF4-FFF2-40B4-BE49-F238E27FC236}">
              <a16:creationId xmlns:a16="http://schemas.microsoft.com/office/drawing/2014/main" id="{00000000-0008-0000-0100-000046010000}"/>
            </a:ext>
          </a:extLst>
        </xdr:cNvPr>
        <xdr:cNvSpPr>
          <a:spLocks noChangeAspect="1"/>
        </xdr:cNvSpPr>
      </xdr:nvSpPr>
      <xdr:spPr>
        <a:xfrm>
          <a:off x="8388436" y="1927477"/>
          <a:ext cx="91440" cy="89002"/>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0</xdr:colOff>
      <xdr:row>36</xdr:row>
      <xdr:rowOff>80597</xdr:rowOff>
    </xdr:from>
    <xdr:to>
      <xdr:col>23</xdr:col>
      <xdr:colOff>591834</xdr:colOff>
      <xdr:row>36</xdr:row>
      <xdr:rowOff>80597</xdr:rowOff>
    </xdr:to>
    <xdr:cxnSp macro="">
      <xdr:nvCxnSpPr>
        <xdr:cNvPr id="332" name="V1.05_bypass_NC" hidden="1">
          <a:extLst>
            <a:ext uri="{FF2B5EF4-FFF2-40B4-BE49-F238E27FC236}">
              <a16:creationId xmlns:a16="http://schemas.microsoft.com/office/drawing/2014/main" id="{00000000-0008-0000-0100-00004C010000}"/>
            </a:ext>
          </a:extLst>
        </xdr:cNvPr>
        <xdr:cNvCxnSpPr/>
      </xdr:nvCxnSpPr>
      <xdr:spPr>
        <a:xfrm>
          <a:off x="8220808" y="6477001"/>
          <a:ext cx="5303045" cy="0"/>
        </a:xfrm>
        <a:prstGeom prst="straightConnector1">
          <a:avLst/>
        </a:prstGeom>
        <a:ln w="3810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38</xdr:row>
      <xdr:rowOff>81890</xdr:rowOff>
    </xdr:from>
    <xdr:to>
      <xdr:col>23</xdr:col>
      <xdr:colOff>591834</xdr:colOff>
      <xdr:row>38</xdr:row>
      <xdr:rowOff>81890</xdr:rowOff>
    </xdr:to>
    <xdr:cxnSp macro="">
      <xdr:nvCxnSpPr>
        <xdr:cNvPr id="335" name="Vnn_bypass_NC" hidden="1">
          <a:extLst>
            <a:ext uri="{FF2B5EF4-FFF2-40B4-BE49-F238E27FC236}">
              <a16:creationId xmlns:a16="http://schemas.microsoft.com/office/drawing/2014/main" id="{00000000-0008-0000-0100-00004F010000}"/>
            </a:ext>
          </a:extLst>
        </xdr:cNvPr>
        <xdr:cNvCxnSpPr/>
      </xdr:nvCxnSpPr>
      <xdr:spPr>
        <a:xfrm>
          <a:off x="8220808" y="6815332"/>
          <a:ext cx="5303045" cy="0"/>
        </a:xfrm>
        <a:prstGeom prst="straightConnector1">
          <a:avLst/>
        </a:prstGeom>
        <a:ln w="3810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16</xdr:row>
      <xdr:rowOff>51785</xdr:rowOff>
    </xdr:from>
    <xdr:to>
      <xdr:col>24</xdr:col>
      <xdr:colOff>3018</xdr:colOff>
      <xdr:row>19</xdr:row>
      <xdr:rowOff>82925</xdr:rowOff>
    </xdr:to>
    <xdr:grpSp>
      <xdr:nvGrpSpPr>
        <xdr:cNvPr id="53" name="VTTVR_group" hidden="1">
          <a:extLst>
            <a:ext uri="{FF2B5EF4-FFF2-40B4-BE49-F238E27FC236}">
              <a16:creationId xmlns:a16="http://schemas.microsoft.com/office/drawing/2014/main" id="{00000000-0008-0000-0100-000035000000}"/>
            </a:ext>
          </a:extLst>
        </xdr:cNvPr>
        <xdr:cNvGrpSpPr/>
      </xdr:nvGrpSpPr>
      <xdr:grpSpPr>
        <a:xfrm>
          <a:off x="3724276" y="3091318"/>
          <a:ext cx="10858342" cy="539140"/>
          <a:chOff x="3529380" y="3099785"/>
          <a:chExt cx="10541330" cy="536698"/>
        </a:xfrm>
      </xdr:grpSpPr>
      <xdr:sp macro="" textlink="">
        <xdr:nvSpPr>
          <xdr:cNvPr id="220" name="Freeform 219" hidden="1">
            <a:extLst>
              <a:ext uri="{FF2B5EF4-FFF2-40B4-BE49-F238E27FC236}">
                <a16:creationId xmlns:a16="http://schemas.microsoft.com/office/drawing/2014/main" id="{00000000-0008-0000-0100-0000DC000000}"/>
              </a:ext>
            </a:extLst>
          </xdr:cNvPr>
          <xdr:cNvSpPr/>
        </xdr:nvSpPr>
        <xdr:spPr>
          <a:xfrm>
            <a:off x="3529380" y="3128597"/>
            <a:ext cx="5490062" cy="507886"/>
          </a:xfrm>
          <a:custGeom>
            <a:avLst/>
            <a:gdLst>
              <a:gd name="connsiteX0" fmla="*/ 4437784 w 4437784"/>
              <a:gd name="connsiteY0" fmla="*/ 0 h 333375"/>
              <a:gd name="connsiteX1" fmla="*/ 4437784 w 4437784"/>
              <a:gd name="connsiteY1" fmla="*/ 155864 h 333375"/>
              <a:gd name="connsiteX2" fmla="*/ 0 w 4437784"/>
              <a:gd name="connsiteY2" fmla="*/ 155864 h 333375"/>
              <a:gd name="connsiteX3" fmla="*/ 0 w 4437784"/>
              <a:gd name="connsiteY3" fmla="*/ 333375 h 333375"/>
              <a:gd name="connsiteX4" fmla="*/ 212148 w 4437784"/>
              <a:gd name="connsiteY4" fmla="*/ 333375 h 333375"/>
              <a:gd name="connsiteX0" fmla="*/ 4437784 w 4437784"/>
              <a:gd name="connsiteY0" fmla="*/ 0 h 333375"/>
              <a:gd name="connsiteX1" fmla="*/ 4437784 w 4437784"/>
              <a:gd name="connsiteY1" fmla="*/ 155864 h 333375"/>
              <a:gd name="connsiteX2" fmla="*/ 0 w 4437784"/>
              <a:gd name="connsiteY2" fmla="*/ 155864 h 333375"/>
              <a:gd name="connsiteX3" fmla="*/ 0 w 4437784"/>
              <a:gd name="connsiteY3" fmla="*/ 333375 h 333375"/>
              <a:gd name="connsiteX4" fmla="*/ 193630 w 4437784"/>
              <a:gd name="connsiteY4" fmla="*/ 333375 h 3333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437784" h="333375">
                <a:moveTo>
                  <a:pt x="4437784" y="0"/>
                </a:moveTo>
                <a:lnTo>
                  <a:pt x="4437784" y="155864"/>
                </a:lnTo>
                <a:lnTo>
                  <a:pt x="0" y="155864"/>
                </a:lnTo>
                <a:lnTo>
                  <a:pt x="0" y="333375"/>
                </a:lnTo>
                <a:lnTo>
                  <a:pt x="193630" y="333375"/>
                </a:lnTo>
              </a:path>
            </a:pathLst>
          </a:custGeom>
          <a:noFill/>
          <a:ln w="38100">
            <a:solidFill>
              <a:schemeClr val="tx1"/>
            </a:solidFill>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68" name="Straight Arrow Connector 367" hidden="1">
            <a:extLst>
              <a:ext uri="{FF2B5EF4-FFF2-40B4-BE49-F238E27FC236}">
                <a16:creationId xmlns:a16="http://schemas.microsoft.com/office/drawing/2014/main" id="{00000000-0008-0000-0100-000070010000}"/>
              </a:ext>
            </a:extLst>
          </xdr:cNvPr>
          <xdr:cNvCxnSpPr/>
        </xdr:nvCxnSpPr>
        <xdr:spPr>
          <a:xfrm>
            <a:off x="8770327" y="3629288"/>
            <a:ext cx="5300383" cy="0"/>
          </a:xfrm>
          <a:prstGeom prst="straightConnector1">
            <a:avLst/>
          </a:prstGeom>
          <a:ln w="381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39" name="Rectangle 338" hidden="1">
            <a:extLst>
              <a:ext uri="{FF2B5EF4-FFF2-40B4-BE49-F238E27FC236}">
                <a16:creationId xmlns:a16="http://schemas.microsoft.com/office/drawing/2014/main" id="{00000000-0008-0000-0100-000053010000}"/>
              </a:ext>
            </a:extLst>
          </xdr:cNvPr>
          <xdr:cNvSpPr>
            <a:spLocks noChangeAspect="1"/>
          </xdr:cNvSpPr>
        </xdr:nvSpPr>
        <xdr:spPr>
          <a:xfrm>
            <a:off x="8974590" y="3099785"/>
            <a:ext cx="91440" cy="89002"/>
          </a:xfrm>
          <a:prstGeom prst="rect">
            <a:avLst/>
          </a:prstGeom>
          <a:ln w="15875">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Users/hoclaren/Downloads/ICL_HS_PowerMap_WI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intel-my.sharepoint.com/Users/hoclaren/AppData/Local/Microsoft/Windows/INetCache/Content.Outlook/0VTUK3GL/CFL-HS%20Power%20Map%20Rev0p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FL-H Power Map"/>
      <sheetName val="CFL-S Power Map"/>
      <sheetName val="ICL Rails and Iccmax"/>
      <sheetName val="Old -UY Map Wrong"/>
      <sheetName val="ICL-H Power Map"/>
      <sheetName val="Old -H Map Wrong"/>
      <sheetName val="ICL-S Power Map"/>
      <sheetName val="Old -S Map Wrong"/>
      <sheetName val="DRAM_ICL"/>
      <sheetName val="ICL Power"/>
    </sheetNames>
    <sheetDataSet>
      <sheetData sheetId="0"/>
      <sheetData sheetId="1"/>
      <sheetData sheetId="2"/>
      <sheetData sheetId="3"/>
      <sheetData sheetId="4">
        <row r="6">
          <cell r="C6" t="str">
            <v>HA 8+1 45W</v>
          </cell>
        </row>
        <row r="7">
          <cell r="C7" t="str">
            <v>Compatibility</v>
          </cell>
        </row>
      </sheetData>
      <sheetData sheetId="5"/>
      <sheetData sheetId="6">
        <row r="6">
          <cell r="C6" t="str">
            <v>S 8+1 45W</v>
          </cell>
        </row>
        <row r="7">
          <cell r="C7" t="str">
            <v>Performance</v>
          </cell>
        </row>
      </sheetData>
      <sheetData sheetId="7"/>
      <sheetData sheetId="8">
        <row r="8">
          <cell r="B8" t="str">
            <v>VDD2</v>
          </cell>
          <cell r="C8" t="str">
            <v>VDDQ (DRAM)</v>
          </cell>
          <cell r="D8" t="str">
            <v>VDDQ (CPU)</v>
          </cell>
          <cell r="E8" t="str">
            <v>VPP</v>
          </cell>
          <cell r="F8" t="str">
            <v>VDD1</v>
          </cell>
          <cell r="G8" t="str">
            <v>VTT</v>
          </cell>
        </row>
        <row r="9">
          <cell r="A9" t="str">
            <v>4GB LPDDR4 @ 4267 MT/s</v>
          </cell>
          <cell r="B9">
            <v>0</v>
          </cell>
          <cell r="C9" t="str">
            <v>N/A</v>
          </cell>
          <cell r="D9">
            <v>4.5</v>
          </cell>
          <cell r="E9" t="str">
            <v>N/A</v>
          </cell>
          <cell r="F9">
            <v>1.1000000000000001</v>
          </cell>
          <cell r="G9" t="str">
            <v>N/A</v>
          </cell>
          <cell r="P9">
            <v>1.1000000000000001</v>
          </cell>
          <cell r="Q9" t="str">
            <v>N/A</v>
          </cell>
          <cell r="R9">
            <v>1.1000000000000001</v>
          </cell>
          <cell r="S9" t="str">
            <v>N/A</v>
          </cell>
          <cell r="T9">
            <v>1.8</v>
          </cell>
          <cell r="U9" t="str">
            <v>N/A</v>
          </cell>
        </row>
        <row r="10">
          <cell r="A10" t="str">
            <v>8GB LPDDR4 @ 4267 MT/s</v>
          </cell>
          <cell r="B10">
            <v>0</v>
          </cell>
          <cell r="C10" t="str">
            <v>N/A</v>
          </cell>
          <cell r="D10">
            <v>6.8</v>
          </cell>
          <cell r="E10" t="str">
            <v>N/A</v>
          </cell>
          <cell r="F10">
            <v>2.1</v>
          </cell>
          <cell r="G10" t="str">
            <v>N/A</v>
          </cell>
          <cell r="P10">
            <v>1.1000000000000001</v>
          </cell>
          <cell r="Q10" t="str">
            <v>N/A</v>
          </cell>
          <cell r="R10">
            <v>1.1000000000000001</v>
          </cell>
          <cell r="S10" t="str">
            <v>N/A</v>
          </cell>
          <cell r="T10">
            <v>1.8</v>
          </cell>
          <cell r="U10" t="str">
            <v>N/A</v>
          </cell>
        </row>
        <row r="11">
          <cell r="A11" t="str">
            <v>16GB LPDDR4 @ 3733 MT/s</v>
          </cell>
          <cell r="B11">
            <v>0</v>
          </cell>
          <cell r="C11" t="str">
            <v>N/A</v>
          </cell>
          <cell r="D11">
            <v>6.4</v>
          </cell>
          <cell r="E11" t="str">
            <v>N/A</v>
          </cell>
          <cell r="F11">
            <v>1.9</v>
          </cell>
          <cell r="G11" t="str">
            <v>N/A</v>
          </cell>
          <cell r="P11">
            <v>1.1000000000000001</v>
          </cell>
          <cell r="Q11" t="str">
            <v>N/A</v>
          </cell>
          <cell r="R11">
            <v>1.1000000000000001</v>
          </cell>
          <cell r="S11" t="str">
            <v>N/A</v>
          </cell>
          <cell r="T11">
            <v>1.8</v>
          </cell>
          <cell r="U11" t="str">
            <v>N/A</v>
          </cell>
        </row>
        <row r="12">
          <cell r="A12" t="str">
            <v>32GB LPDDR4 @ 3733 MT/s</v>
          </cell>
          <cell r="B12">
            <v>0</v>
          </cell>
          <cell r="C12" t="str">
            <v>N/A</v>
          </cell>
          <cell r="D12">
            <v>10.5</v>
          </cell>
          <cell r="E12" t="str">
            <v>N/A</v>
          </cell>
          <cell r="F12">
            <v>3.8</v>
          </cell>
          <cell r="G12" t="str">
            <v>N/A</v>
          </cell>
          <cell r="P12">
            <v>1.1000000000000001</v>
          </cell>
          <cell r="Q12" t="str">
            <v>N/A</v>
          </cell>
          <cell r="R12">
            <v>1.1000000000000001</v>
          </cell>
          <cell r="S12" t="str">
            <v>N/A</v>
          </cell>
          <cell r="T12">
            <v>1.8</v>
          </cell>
          <cell r="U12" t="str">
            <v>N/A</v>
          </cell>
        </row>
        <row r="13">
          <cell r="A13" t="str">
            <v>64GB LPDDR4 @ 3200 MT/s</v>
          </cell>
          <cell r="B13">
            <v>0</v>
          </cell>
          <cell r="C13" t="str">
            <v>N/A</v>
          </cell>
          <cell r="D13">
            <v>10</v>
          </cell>
          <cell r="E13" t="str">
            <v>N/A</v>
          </cell>
          <cell r="F13">
            <v>3.4</v>
          </cell>
          <cell r="G13" t="str">
            <v>N/A</v>
          </cell>
          <cell r="P13">
            <v>1.1000000000000001</v>
          </cell>
          <cell r="Q13" t="str">
            <v>N/A</v>
          </cell>
          <cell r="R13">
            <v>1.1000000000000001</v>
          </cell>
          <cell r="S13" t="str">
            <v>N/A</v>
          </cell>
          <cell r="T13">
            <v>1.8</v>
          </cell>
          <cell r="U13" t="str">
            <v>N/A</v>
          </cell>
        </row>
        <row r="14">
          <cell r="A14" t="str">
            <v>-----</v>
          </cell>
          <cell r="B14">
            <v>0</v>
          </cell>
          <cell r="C14">
            <v>0</v>
          </cell>
          <cell r="D14">
            <v>0</v>
          </cell>
          <cell r="E14">
            <v>0</v>
          </cell>
          <cell r="F14">
            <v>0</v>
          </cell>
          <cell r="G14">
            <v>0</v>
          </cell>
          <cell r="P14">
            <v>0</v>
          </cell>
          <cell r="Q14">
            <v>0</v>
          </cell>
          <cell r="R14">
            <v>0</v>
          </cell>
          <cell r="S14">
            <v>0</v>
          </cell>
          <cell r="T14">
            <v>0</v>
          </cell>
          <cell r="U14">
            <v>0</v>
          </cell>
        </row>
        <row r="15">
          <cell r="A15" t="str">
            <v>4GB LPDDR4X @ 4267 MT/s</v>
          </cell>
          <cell r="B15">
            <v>0</v>
          </cell>
          <cell r="C15">
            <v>1.3</v>
          </cell>
          <cell r="D15">
            <v>2.2000000000000002</v>
          </cell>
          <cell r="E15" t="str">
            <v>N/A</v>
          </cell>
          <cell r="F15">
            <v>1.1000000000000001</v>
          </cell>
          <cell r="G15" t="str">
            <v>N/A</v>
          </cell>
          <cell r="P15">
            <v>1.1000000000000001</v>
          </cell>
          <cell r="Q15">
            <v>0.6</v>
          </cell>
          <cell r="R15">
            <v>1.1000000000000001</v>
          </cell>
          <cell r="S15" t="str">
            <v>N/A</v>
          </cell>
          <cell r="T15">
            <v>1.8</v>
          </cell>
          <cell r="U15" t="str">
            <v>N/A</v>
          </cell>
        </row>
        <row r="16">
          <cell r="A16" t="str">
            <v>8GB LPDDR4X @ 4267 MT/s</v>
          </cell>
          <cell r="B16">
            <v>0</v>
          </cell>
          <cell r="C16">
            <v>1.4</v>
          </cell>
          <cell r="D16">
            <v>4.4000000000000004</v>
          </cell>
          <cell r="E16" t="str">
            <v>N/A</v>
          </cell>
          <cell r="F16">
            <v>2.1</v>
          </cell>
          <cell r="G16" t="str">
            <v>N/A</v>
          </cell>
          <cell r="P16">
            <v>1.1000000000000001</v>
          </cell>
          <cell r="Q16">
            <v>0.6</v>
          </cell>
          <cell r="R16">
            <v>1.1000000000000001</v>
          </cell>
          <cell r="S16" t="str">
            <v>N/A</v>
          </cell>
          <cell r="T16">
            <v>1.8</v>
          </cell>
          <cell r="U16" t="str">
            <v>N/A</v>
          </cell>
        </row>
        <row r="17">
          <cell r="A17" t="str">
            <v>16GB LPDDR4X @ 3733 MT/s</v>
          </cell>
          <cell r="B17">
            <v>0</v>
          </cell>
          <cell r="C17">
            <v>1.3</v>
          </cell>
          <cell r="D17">
            <v>4.0999999999999996</v>
          </cell>
          <cell r="E17" t="str">
            <v>N/A</v>
          </cell>
          <cell r="F17">
            <v>1.9</v>
          </cell>
          <cell r="G17" t="str">
            <v>N/A</v>
          </cell>
          <cell r="P17">
            <v>1.1000000000000001</v>
          </cell>
          <cell r="Q17">
            <v>0.6</v>
          </cell>
          <cell r="R17">
            <v>1.1000000000000001</v>
          </cell>
          <cell r="S17" t="str">
            <v>N/A</v>
          </cell>
          <cell r="T17">
            <v>1.8</v>
          </cell>
          <cell r="U17" t="str">
            <v>N/A</v>
          </cell>
        </row>
        <row r="18">
          <cell r="A18" t="str">
            <v>32GB LPDDR4X @ 3733 MT/s</v>
          </cell>
          <cell r="B18">
            <v>0</v>
          </cell>
          <cell r="C18">
            <v>1.5</v>
          </cell>
          <cell r="D18">
            <v>8.1</v>
          </cell>
          <cell r="E18" t="str">
            <v>N/A</v>
          </cell>
          <cell r="F18">
            <v>3.8</v>
          </cell>
          <cell r="G18" t="str">
            <v>N/A</v>
          </cell>
          <cell r="P18">
            <v>1.1000000000000001</v>
          </cell>
          <cell r="Q18">
            <v>0.6</v>
          </cell>
          <cell r="R18">
            <v>1.1000000000000001</v>
          </cell>
          <cell r="S18" t="str">
            <v>N/A</v>
          </cell>
          <cell r="T18">
            <v>1.8</v>
          </cell>
          <cell r="U18" t="str">
            <v>N/A</v>
          </cell>
        </row>
        <row r="19">
          <cell r="A19" t="str">
            <v>64GB LPDDR4X @ 3200 MT/s</v>
          </cell>
          <cell r="B19">
            <v>0</v>
          </cell>
          <cell r="C19">
            <v>1.5</v>
          </cell>
          <cell r="D19">
            <v>7.6</v>
          </cell>
          <cell r="E19" t="str">
            <v>N/A</v>
          </cell>
          <cell r="F19">
            <v>3.4</v>
          </cell>
          <cell r="G19" t="str">
            <v>N/A</v>
          </cell>
          <cell r="P19">
            <v>1.1000000000000001</v>
          </cell>
          <cell r="Q19">
            <v>0.6</v>
          </cell>
          <cell r="R19">
            <v>1.1000000000000001</v>
          </cell>
          <cell r="S19" t="str">
            <v>N/A</v>
          </cell>
          <cell r="T19">
            <v>1.8</v>
          </cell>
          <cell r="U19" t="str">
            <v>N/A</v>
          </cell>
        </row>
        <row r="20">
          <cell r="A20" t="str">
            <v>-----</v>
          </cell>
          <cell r="B20">
            <v>0</v>
          </cell>
          <cell r="C20">
            <v>0</v>
          </cell>
          <cell r="D20">
            <v>0</v>
          </cell>
          <cell r="E20">
            <v>0</v>
          </cell>
          <cell r="F20">
            <v>0</v>
          </cell>
          <cell r="G20">
            <v>0</v>
          </cell>
          <cell r="P20">
            <v>0</v>
          </cell>
          <cell r="Q20">
            <v>0</v>
          </cell>
          <cell r="R20">
            <v>0</v>
          </cell>
          <cell r="S20">
            <v>0</v>
          </cell>
          <cell r="T20">
            <v>0</v>
          </cell>
          <cell r="U20">
            <v>0</v>
          </cell>
        </row>
        <row r="21">
          <cell r="A21" t="str">
            <v>4GB DDR4 @ 2667 MT/s</v>
          </cell>
          <cell r="B21">
            <v>0</v>
          </cell>
          <cell r="C21" t="str">
            <v>N/A</v>
          </cell>
          <cell r="D21" t="str">
            <v>tbd</v>
          </cell>
          <cell r="E21" t="str">
            <v>tbd</v>
          </cell>
          <cell r="F21" t="str">
            <v>N/A</v>
          </cell>
          <cell r="G21" t="str">
            <v>tbd</v>
          </cell>
          <cell r="P21">
            <v>0</v>
          </cell>
          <cell r="Q21">
            <v>0</v>
          </cell>
          <cell r="R21">
            <v>1.2</v>
          </cell>
          <cell r="S21">
            <v>2.5</v>
          </cell>
          <cell r="T21" t="str">
            <v>N/A</v>
          </cell>
          <cell r="U21">
            <v>0.6</v>
          </cell>
        </row>
        <row r="22">
          <cell r="A22" t="str">
            <v>8GB DDR4 @ 2667 MT/s</v>
          </cell>
          <cell r="B22">
            <v>0</v>
          </cell>
          <cell r="C22" t="str">
            <v>N/A</v>
          </cell>
          <cell r="D22">
            <v>7</v>
          </cell>
          <cell r="E22">
            <v>0.24</v>
          </cell>
          <cell r="F22" t="str">
            <v>N/A</v>
          </cell>
          <cell r="G22">
            <v>0.7</v>
          </cell>
          <cell r="P22">
            <v>0</v>
          </cell>
          <cell r="Q22">
            <v>0</v>
          </cell>
          <cell r="R22">
            <v>1.2</v>
          </cell>
          <cell r="S22">
            <v>2.5</v>
          </cell>
          <cell r="T22" t="str">
            <v>N/A</v>
          </cell>
          <cell r="U22">
            <v>0.6</v>
          </cell>
        </row>
        <row r="23">
          <cell r="A23" t="str">
            <v>16GB DDR4 @ 2667 MT/s</v>
          </cell>
          <cell r="B23">
            <v>0</v>
          </cell>
          <cell r="C23" t="str">
            <v>N/A</v>
          </cell>
          <cell r="D23">
            <v>8</v>
          </cell>
          <cell r="E23">
            <v>0.25</v>
          </cell>
          <cell r="F23" t="str">
            <v>N/A</v>
          </cell>
          <cell r="G23">
            <v>0.7</v>
          </cell>
          <cell r="P23">
            <v>0</v>
          </cell>
          <cell r="Q23">
            <v>0</v>
          </cell>
          <cell r="R23">
            <v>1.2</v>
          </cell>
          <cell r="S23">
            <v>2.5</v>
          </cell>
          <cell r="T23" t="str">
            <v>N/A</v>
          </cell>
          <cell r="U23">
            <v>0.6</v>
          </cell>
        </row>
        <row r="24">
          <cell r="A24" t="str">
            <v>32GB DDR4 @ 2667 MT/s</v>
          </cell>
          <cell r="B24">
            <v>0</v>
          </cell>
          <cell r="C24" t="str">
            <v>N/A</v>
          </cell>
          <cell r="D24">
            <v>11.5</v>
          </cell>
          <cell r="E24">
            <v>0.5</v>
          </cell>
          <cell r="F24" t="str">
            <v>N/A</v>
          </cell>
          <cell r="G24">
            <v>0.7</v>
          </cell>
          <cell r="P24">
            <v>0</v>
          </cell>
          <cell r="Q24">
            <v>0</v>
          </cell>
          <cell r="R24">
            <v>1.2</v>
          </cell>
          <cell r="S24">
            <v>2.5</v>
          </cell>
          <cell r="T24" t="str">
            <v>N/A</v>
          </cell>
          <cell r="U24">
            <v>0.6</v>
          </cell>
        </row>
        <row r="25">
          <cell r="A25" t="str">
            <v>64GB DDR4 @ 2667 MT/s</v>
          </cell>
          <cell r="B25">
            <v>0</v>
          </cell>
          <cell r="C25" t="str">
            <v>N/A</v>
          </cell>
          <cell r="D25">
            <v>15.7</v>
          </cell>
          <cell r="E25">
            <v>0.6</v>
          </cell>
          <cell r="F25" t="str">
            <v>N/A</v>
          </cell>
          <cell r="G25">
            <v>0.7</v>
          </cell>
          <cell r="P25">
            <v>0</v>
          </cell>
          <cell r="Q25">
            <v>0</v>
          </cell>
          <cell r="R25">
            <v>1.2</v>
          </cell>
          <cell r="S25">
            <v>2.5</v>
          </cell>
          <cell r="T25" t="str">
            <v>N/A</v>
          </cell>
          <cell r="U25">
            <v>0.6</v>
          </cell>
        </row>
        <row r="26">
          <cell r="A26" t="str">
            <v>-----</v>
          </cell>
          <cell r="P26">
            <v>0</v>
          </cell>
          <cell r="Q26">
            <v>0</v>
          </cell>
          <cell r="R26">
            <v>0</v>
          </cell>
          <cell r="S26">
            <v>0</v>
          </cell>
          <cell r="T26">
            <v>0</v>
          </cell>
          <cell r="U26">
            <v>0</v>
          </cell>
        </row>
        <row r="27">
          <cell r="A27" t="str">
            <v>4GB DDR4 @ 3200 MT/s</v>
          </cell>
          <cell r="B27">
            <v>0</v>
          </cell>
          <cell r="C27" t="str">
            <v>N/A</v>
          </cell>
          <cell r="D27">
            <v>0</v>
          </cell>
          <cell r="E27" t="str">
            <v>N/A</v>
          </cell>
          <cell r="F27">
            <v>0</v>
          </cell>
          <cell r="G27">
            <v>0</v>
          </cell>
          <cell r="P27">
            <v>0</v>
          </cell>
          <cell r="Q27" t="str">
            <v>N/A</v>
          </cell>
          <cell r="R27">
            <v>1.2</v>
          </cell>
          <cell r="S27">
            <v>2.5</v>
          </cell>
          <cell r="T27" t="str">
            <v>N/A</v>
          </cell>
          <cell r="U27">
            <v>0.6</v>
          </cell>
        </row>
        <row r="28">
          <cell r="A28" t="str">
            <v>8GB DDR4 @ 3200 MT/s</v>
          </cell>
          <cell r="B28">
            <v>0</v>
          </cell>
          <cell r="C28" t="str">
            <v>N/A</v>
          </cell>
          <cell r="D28">
            <v>7.6</v>
          </cell>
          <cell r="E28" t="str">
            <v>N/A</v>
          </cell>
          <cell r="F28">
            <v>0.28000000000000003</v>
          </cell>
          <cell r="G28">
            <v>0.6</v>
          </cell>
          <cell r="P28">
            <v>0</v>
          </cell>
          <cell r="Q28" t="str">
            <v>N/A</v>
          </cell>
          <cell r="R28">
            <v>1.2</v>
          </cell>
          <cell r="S28">
            <v>2.5</v>
          </cell>
          <cell r="T28" t="str">
            <v>N/A</v>
          </cell>
          <cell r="U28">
            <v>0.6</v>
          </cell>
        </row>
        <row r="29">
          <cell r="A29" t="str">
            <v>16GB DDR4 @ 3200 MT/s</v>
          </cell>
          <cell r="B29">
            <v>0</v>
          </cell>
          <cell r="C29" t="str">
            <v>N/A</v>
          </cell>
          <cell r="D29">
            <v>8.6999999999999993</v>
          </cell>
          <cell r="E29" t="str">
            <v>N/A</v>
          </cell>
          <cell r="F29">
            <v>0.3</v>
          </cell>
          <cell r="G29">
            <v>0.6</v>
          </cell>
          <cell r="P29">
            <v>0</v>
          </cell>
          <cell r="Q29" t="str">
            <v>N/A</v>
          </cell>
          <cell r="R29">
            <v>1.2</v>
          </cell>
          <cell r="S29">
            <v>2.5</v>
          </cell>
          <cell r="T29" t="str">
            <v>N/A</v>
          </cell>
          <cell r="U29">
            <v>0.6</v>
          </cell>
        </row>
        <row r="30">
          <cell r="A30" t="str">
            <v>32GB DDR4 @ 3200 MT/s</v>
          </cell>
          <cell r="B30">
            <v>0</v>
          </cell>
          <cell r="C30" t="str">
            <v>N/A</v>
          </cell>
          <cell r="D30">
            <v>12.9</v>
          </cell>
          <cell r="E30" t="str">
            <v>N/A</v>
          </cell>
          <cell r="F30">
            <v>0.59</v>
          </cell>
          <cell r="G30">
            <v>0.6</v>
          </cell>
          <cell r="P30">
            <v>0</v>
          </cell>
          <cell r="Q30" t="str">
            <v>N/A</v>
          </cell>
          <cell r="R30">
            <v>1.2</v>
          </cell>
          <cell r="S30">
            <v>2.5</v>
          </cell>
          <cell r="T30" t="str">
            <v>N/A</v>
          </cell>
          <cell r="U30">
            <v>0.6</v>
          </cell>
        </row>
        <row r="31">
          <cell r="A31" t="str">
            <v>64GB DDR4 @ 3200 MT/s</v>
          </cell>
          <cell r="B31">
            <v>0</v>
          </cell>
          <cell r="C31" t="str">
            <v>N/A</v>
          </cell>
          <cell r="D31">
            <v>16.2</v>
          </cell>
          <cell r="E31" t="str">
            <v>N/A</v>
          </cell>
          <cell r="F31">
            <v>0.6</v>
          </cell>
          <cell r="G31">
            <v>0.72</v>
          </cell>
          <cell r="P31">
            <v>0</v>
          </cell>
          <cell r="Q31" t="str">
            <v>N/A</v>
          </cell>
          <cell r="R31">
            <v>1.2</v>
          </cell>
          <cell r="S31">
            <v>2.5</v>
          </cell>
          <cell r="T31" t="str">
            <v>N/A</v>
          </cell>
          <cell r="U31">
            <v>0.6</v>
          </cell>
        </row>
        <row r="32">
          <cell r="A32" t="str">
            <v>-----</v>
          </cell>
          <cell r="B32">
            <v>0</v>
          </cell>
          <cell r="C32">
            <v>0</v>
          </cell>
          <cell r="D32">
            <v>0</v>
          </cell>
          <cell r="E32">
            <v>0</v>
          </cell>
          <cell r="F32">
            <v>0</v>
          </cell>
          <cell r="G32">
            <v>0</v>
          </cell>
          <cell r="P32">
            <v>0</v>
          </cell>
          <cell r="Q32">
            <v>0</v>
          </cell>
        </row>
      </sheetData>
      <sheetData sheetId="9">
        <row r="1">
          <cell r="C1" t="str">
            <v>ICL-HA 8+1 45W</v>
          </cell>
          <cell r="D1" t="str">
            <v>ICL-HA 8+1 65W</v>
          </cell>
          <cell r="E1" t="str">
            <v>ICL-HA 8+1 95W</v>
          </cell>
          <cell r="F1" t="str">
            <v>ICL-S 4+1 35W</v>
          </cell>
          <cell r="G1" t="str">
            <v>ICL-S 4+1 55W</v>
          </cell>
          <cell r="H1" t="str">
            <v>ICL-S 8+1 35W</v>
          </cell>
          <cell r="I1" t="str">
            <v>ICL-S 8+1 45W</v>
          </cell>
          <cell r="J1" t="str">
            <v>ICL-S 8+1 65W</v>
          </cell>
          <cell r="K1" t="str">
            <v>ICL-S 8+1 95W</v>
          </cell>
        </row>
        <row r="5">
          <cell r="B5" t="str">
            <v>Package PL1 (TDP) [W]</v>
          </cell>
          <cell r="C5">
            <v>45</v>
          </cell>
          <cell r="D5">
            <v>65</v>
          </cell>
          <cell r="E5">
            <v>95</v>
          </cell>
          <cell r="F5">
            <v>35</v>
          </cell>
          <cell r="G5">
            <v>55</v>
          </cell>
          <cell r="H5">
            <v>35</v>
          </cell>
          <cell r="I5">
            <v>45</v>
          </cell>
          <cell r="J5">
            <v>65</v>
          </cell>
          <cell r="K5">
            <v>95</v>
          </cell>
        </row>
        <row r="6">
          <cell r="B6" t="str">
            <v>PL2 (Compatibility) [W]</v>
          </cell>
          <cell r="C6">
            <v>78</v>
          </cell>
          <cell r="D6">
            <v>67</v>
          </cell>
          <cell r="E6">
            <v>79</v>
          </cell>
          <cell r="F6">
            <v>103</v>
          </cell>
          <cell r="G6">
            <v>112</v>
          </cell>
          <cell r="H6">
            <v>131</v>
          </cell>
          <cell r="I6" t="str">
            <v>TBD</v>
          </cell>
          <cell r="J6" t="str">
            <v>TBD</v>
          </cell>
          <cell r="K6" t="str">
            <v>TBD</v>
          </cell>
        </row>
        <row r="7">
          <cell r="B7" t="str">
            <v>PL2 (Performance) [W]</v>
          </cell>
          <cell r="C7">
            <v>90</v>
          </cell>
          <cell r="D7">
            <v>78</v>
          </cell>
          <cell r="E7">
            <v>92</v>
          </cell>
          <cell r="F7">
            <v>122</v>
          </cell>
          <cell r="G7">
            <v>112</v>
          </cell>
          <cell r="H7">
            <v>131</v>
          </cell>
          <cell r="I7" t="str">
            <v>TBD</v>
          </cell>
          <cell r="J7" t="str">
            <v>TBD</v>
          </cell>
          <cell r="K7" t="str">
            <v>TBD</v>
          </cell>
        </row>
        <row r="8">
          <cell r="B8" t="str">
            <v>PL3 (Compatibility) [W]</v>
          </cell>
          <cell r="C8">
            <v>110.5</v>
          </cell>
          <cell r="D8">
            <v>89.25</v>
          </cell>
          <cell r="E8">
            <v>90.1</v>
          </cell>
          <cell r="F8">
            <v>114.75</v>
          </cell>
          <cell r="G8">
            <v>130.9</v>
          </cell>
          <cell r="H8">
            <v>139.4</v>
          </cell>
          <cell r="I8" t="str">
            <v>TBD</v>
          </cell>
          <cell r="J8" t="str">
            <v>TBD</v>
          </cell>
          <cell r="K8" t="str">
            <v>TBD</v>
          </cell>
        </row>
        <row r="9">
          <cell r="B9" t="str">
            <v>PL3 (Performance) [W]</v>
          </cell>
          <cell r="C9">
            <v>110.5</v>
          </cell>
          <cell r="D9">
            <v>89.25</v>
          </cell>
          <cell r="E9">
            <v>102</v>
          </cell>
          <cell r="F9">
            <v>135.15</v>
          </cell>
          <cell r="G9">
            <v>130.9</v>
          </cell>
          <cell r="H9">
            <v>139.4</v>
          </cell>
          <cell r="I9" t="str">
            <v>TBD</v>
          </cell>
          <cell r="J9" t="str">
            <v>TBD</v>
          </cell>
          <cell r="K9" t="str">
            <v>TBD</v>
          </cell>
        </row>
        <row r="10">
          <cell r="B10" t="str">
            <v>PL4 (Compatibility) [W]</v>
          </cell>
          <cell r="C10">
            <v>130</v>
          </cell>
          <cell r="D10">
            <v>105</v>
          </cell>
          <cell r="E10">
            <v>106</v>
          </cell>
          <cell r="F10">
            <v>135</v>
          </cell>
          <cell r="G10">
            <v>154</v>
          </cell>
          <cell r="H10">
            <v>164</v>
          </cell>
          <cell r="I10" t="str">
            <v>TBD</v>
          </cell>
          <cell r="J10" t="str">
            <v>TBD</v>
          </cell>
          <cell r="K10" t="str">
            <v>TBD</v>
          </cell>
        </row>
        <row r="11">
          <cell r="B11" t="str">
            <v>PL4 (Performance) [W]</v>
          </cell>
          <cell r="C11">
            <v>130</v>
          </cell>
          <cell r="D11">
            <v>105</v>
          </cell>
          <cell r="E11">
            <v>120</v>
          </cell>
          <cell r="F11">
            <v>159</v>
          </cell>
          <cell r="G11">
            <v>154</v>
          </cell>
          <cell r="H11">
            <v>164</v>
          </cell>
          <cell r="I11" t="str">
            <v>TBD</v>
          </cell>
          <cell r="J11" t="str">
            <v>TBD</v>
          </cell>
          <cell r="K11" t="str">
            <v>TBD</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l Change List"/>
      <sheetName val="CFL-S Power Map"/>
      <sheetName val="CFL-H Power Map"/>
      <sheetName val="CFL Rails and Iccmax"/>
      <sheetName val="PCH"/>
      <sheetName val="CFL POR"/>
      <sheetName val="Load Switch Enable"/>
      <sheetName val="DRAM"/>
      <sheetName val="Revision History"/>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Visio_Drawing3.vsdx"/><Relationship Id="rId13" Type="http://schemas.openxmlformats.org/officeDocument/2006/relationships/package" Target="../embeddings/Microsoft_Visio_Drawing8.vsdx"/><Relationship Id="rId18" Type="http://schemas.openxmlformats.org/officeDocument/2006/relationships/package" Target="../embeddings/Microsoft_Visio_Drawing13.vsdx"/><Relationship Id="rId26" Type="http://schemas.openxmlformats.org/officeDocument/2006/relationships/ctrlProp" Target="../ctrlProps/ctrlProp2.xml"/><Relationship Id="rId3" Type="http://schemas.openxmlformats.org/officeDocument/2006/relationships/vmlDrawing" Target="../drawings/vmlDrawing1.vml"/><Relationship Id="rId21" Type="http://schemas.openxmlformats.org/officeDocument/2006/relationships/package" Target="../embeddings/Microsoft_Visio_Drawing16.vsdx"/><Relationship Id="rId7" Type="http://schemas.openxmlformats.org/officeDocument/2006/relationships/package" Target="../embeddings/Microsoft_Visio_Drawing2.vsdx"/><Relationship Id="rId12" Type="http://schemas.openxmlformats.org/officeDocument/2006/relationships/package" Target="../embeddings/Microsoft_Visio_Drawing7.vsdx"/><Relationship Id="rId17" Type="http://schemas.openxmlformats.org/officeDocument/2006/relationships/package" Target="../embeddings/Microsoft_Visio_Drawing12.vsdx"/><Relationship Id="rId25" Type="http://schemas.openxmlformats.org/officeDocument/2006/relationships/ctrlProp" Target="../ctrlProps/ctrlProp1.xml"/><Relationship Id="rId2" Type="http://schemas.openxmlformats.org/officeDocument/2006/relationships/drawing" Target="../drawings/drawing1.xml"/><Relationship Id="rId16" Type="http://schemas.openxmlformats.org/officeDocument/2006/relationships/package" Target="../embeddings/Microsoft_Visio_Drawing11.vsdx"/><Relationship Id="rId20" Type="http://schemas.openxmlformats.org/officeDocument/2006/relationships/package" Target="../embeddings/Microsoft_Visio_Drawing15.vsdx"/><Relationship Id="rId1" Type="http://schemas.openxmlformats.org/officeDocument/2006/relationships/printerSettings" Target="../printerSettings/printerSettings2.bin"/><Relationship Id="rId6" Type="http://schemas.openxmlformats.org/officeDocument/2006/relationships/package" Target="../embeddings/Microsoft_Visio_Drawing1.vsdx"/><Relationship Id="rId11" Type="http://schemas.openxmlformats.org/officeDocument/2006/relationships/package" Target="../embeddings/Microsoft_Visio_Drawing6.vsdx"/><Relationship Id="rId24" Type="http://schemas.openxmlformats.org/officeDocument/2006/relationships/package" Target="../embeddings/Microsoft_Visio_Drawing19.vsdx"/><Relationship Id="rId5" Type="http://schemas.openxmlformats.org/officeDocument/2006/relationships/image" Target="../media/image1.emf"/><Relationship Id="rId15" Type="http://schemas.openxmlformats.org/officeDocument/2006/relationships/package" Target="../embeddings/Microsoft_Visio_Drawing10.vsdx"/><Relationship Id="rId23" Type="http://schemas.openxmlformats.org/officeDocument/2006/relationships/package" Target="../embeddings/Microsoft_Visio_Drawing18.vsdx"/><Relationship Id="rId10" Type="http://schemas.openxmlformats.org/officeDocument/2006/relationships/package" Target="../embeddings/Microsoft_Visio_Drawing5.vsdx"/><Relationship Id="rId19" Type="http://schemas.openxmlformats.org/officeDocument/2006/relationships/package" Target="../embeddings/Microsoft_Visio_Drawing14.vsdx"/><Relationship Id="rId4" Type="http://schemas.openxmlformats.org/officeDocument/2006/relationships/package" Target="../embeddings/Microsoft_Visio_Drawing.vsdx"/><Relationship Id="rId9" Type="http://schemas.openxmlformats.org/officeDocument/2006/relationships/package" Target="../embeddings/Microsoft_Visio_Drawing4.vsdx"/><Relationship Id="rId14" Type="http://schemas.openxmlformats.org/officeDocument/2006/relationships/package" Target="../embeddings/Microsoft_Visio_Drawing9.vsdx"/><Relationship Id="rId22" Type="http://schemas.openxmlformats.org/officeDocument/2006/relationships/package" Target="../embeddings/Microsoft_Visio_Drawing17.vsdx"/><Relationship Id="rId27"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15"/>
  <sheetViews>
    <sheetView tabSelected="1" workbookViewId="0"/>
  </sheetViews>
  <sheetFormatPr defaultRowHeight="14.4" x14ac:dyDescent="0.3"/>
  <cols>
    <col min="1" max="1" width="137.6640625" customWidth="1"/>
    <col min="2" max="2" width="60.44140625" customWidth="1"/>
  </cols>
  <sheetData>
    <row r="1" spans="1:1" ht="19.8" x14ac:dyDescent="0.3">
      <c r="A1" s="693" t="s">
        <v>616</v>
      </c>
    </row>
    <row r="2" spans="1:1" ht="19.8" x14ac:dyDescent="0.3">
      <c r="A2" s="694" t="s">
        <v>440</v>
      </c>
    </row>
    <row r="3" spans="1:1" x14ac:dyDescent="0.3">
      <c r="A3" s="695" t="s">
        <v>614</v>
      </c>
    </row>
    <row r="4" spans="1:1" x14ac:dyDescent="0.3">
      <c r="A4" s="925">
        <v>44155</v>
      </c>
    </row>
    <row r="5" spans="1:1" x14ac:dyDescent="0.3">
      <c r="A5" s="925" t="s">
        <v>615</v>
      </c>
    </row>
    <row r="6" spans="1:1" x14ac:dyDescent="0.3">
      <c r="A6" s="696"/>
    </row>
    <row r="7" spans="1:1" x14ac:dyDescent="0.3">
      <c r="A7" s="1155" t="s">
        <v>613</v>
      </c>
    </row>
    <row r="8" spans="1:1" x14ac:dyDescent="0.3">
      <c r="A8" s="1155"/>
    </row>
    <row r="9" spans="1:1" x14ac:dyDescent="0.3">
      <c r="A9" s="1155"/>
    </row>
    <row r="10" spans="1:1" ht="298.95" customHeight="1" x14ac:dyDescent="0.3">
      <c r="A10" s="1155"/>
    </row>
    <row r="11" spans="1:1" ht="75.599999999999994" customHeight="1" thickBot="1" x14ac:dyDescent="0.35">
      <c r="A11" s="1156"/>
    </row>
    <row r="12" spans="1:1" ht="169.35" customHeight="1" x14ac:dyDescent="0.3"/>
    <row r="13" spans="1:1" ht="169.35" customHeight="1" x14ac:dyDescent="0.3"/>
    <row r="14" spans="1:1" ht="169.35" customHeight="1" x14ac:dyDescent="0.3"/>
    <row r="15" spans="1:1" ht="169.35" customHeight="1" x14ac:dyDescent="0.3"/>
  </sheetData>
  <mergeCells count="1">
    <mergeCell ref="A7:A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S555"/>
  <sheetViews>
    <sheetView zoomScale="90" zoomScaleNormal="90" workbookViewId="0">
      <selection activeCell="C5" sqref="C5:E5"/>
    </sheetView>
  </sheetViews>
  <sheetFormatPr defaultColWidth="8.88671875" defaultRowHeight="15.6" x14ac:dyDescent="0.3"/>
  <cols>
    <col min="1" max="1" width="2.6640625" style="2" customWidth="1"/>
    <col min="2" max="2" width="18" style="2" customWidth="1"/>
    <col min="3" max="3" width="9.88671875" style="2" customWidth="1"/>
    <col min="4" max="4" width="8.88671875" style="2"/>
    <col min="5" max="5" width="6.44140625" style="2" customWidth="1"/>
    <col min="6" max="6" width="3" style="2" customWidth="1"/>
    <col min="7" max="7" width="8.88671875" style="2"/>
    <col min="8" max="8" width="1" style="2" hidden="1" customWidth="1"/>
    <col min="9" max="9" width="17.44140625" style="2" customWidth="1"/>
    <col min="10" max="10" width="12" style="94" customWidth="1"/>
    <col min="11" max="11" width="8.88671875" style="2" customWidth="1"/>
    <col min="12" max="12" width="11.44140625" style="2" bestFit="1" customWidth="1"/>
    <col min="13" max="13" width="13" style="2" customWidth="1"/>
    <col min="14" max="14" width="12.44140625" style="2" customWidth="1"/>
    <col min="15" max="15" width="8.88671875" style="2" customWidth="1"/>
    <col min="16" max="16" width="2.6640625" style="2" customWidth="1"/>
    <col min="17" max="17" width="17.6640625" style="2" customWidth="1"/>
    <col min="18" max="18" width="21.5546875" style="2" customWidth="1"/>
    <col min="19" max="19" width="10.44140625" style="663" customWidth="1"/>
    <col min="20" max="20" width="7.109375" style="2" hidden="1" customWidth="1"/>
    <col min="21" max="22" width="9.33203125" style="2" hidden="1" customWidth="1"/>
    <col min="23" max="23" width="9.33203125" style="2" customWidth="1"/>
    <col min="24" max="24" width="8.88671875" style="2"/>
    <col min="25" max="25" width="18.44140625" style="2" customWidth="1"/>
    <col min="26" max="27" width="10.33203125" style="2" customWidth="1"/>
    <col min="28" max="28" width="6.6640625" style="2" customWidth="1"/>
    <col min="29" max="29" width="4.5546875" style="2" hidden="1" customWidth="1"/>
    <col min="30" max="30" width="25.44140625" style="2" hidden="1" customWidth="1"/>
    <col min="31" max="31" width="41.6640625" style="2" hidden="1" customWidth="1"/>
    <col min="32" max="32" width="26" style="2" hidden="1" customWidth="1"/>
    <col min="33" max="33" width="12.44140625" style="2" hidden="1" customWidth="1"/>
    <col min="34" max="34" width="11.33203125" style="2" hidden="1" customWidth="1"/>
    <col min="35" max="35" width="7.33203125" style="2" hidden="1" customWidth="1"/>
    <col min="36" max="36" width="10.109375" style="5" hidden="1" customWidth="1"/>
    <col min="37" max="37" width="11" style="2" hidden="1" customWidth="1"/>
    <col min="38" max="38" width="8.88671875" style="2" hidden="1" customWidth="1"/>
    <col min="39" max="39" width="28.88671875" style="2" hidden="1" customWidth="1"/>
    <col min="40" max="40" width="27.109375" style="2" hidden="1" customWidth="1"/>
    <col min="41" max="41" width="8.88671875" style="2" customWidth="1"/>
    <col min="42" max="16384" width="8.88671875" style="2"/>
  </cols>
  <sheetData>
    <row r="1" spans="1:40" ht="18" x14ac:dyDescent="0.35">
      <c r="A1" s="1"/>
      <c r="B1" s="698" t="s">
        <v>0</v>
      </c>
      <c r="C1" s="1"/>
      <c r="D1" s="1"/>
      <c r="E1" s="1"/>
      <c r="F1" s="697" t="s">
        <v>533</v>
      </c>
      <c r="G1" s="3"/>
      <c r="H1" s="3"/>
      <c r="I1" s="3"/>
      <c r="J1" s="4"/>
      <c r="K1" s="3"/>
      <c r="L1" s="3"/>
      <c r="M1" s="3"/>
      <c r="N1" s="3"/>
      <c r="O1" s="3"/>
      <c r="P1" s="3"/>
      <c r="Q1" s="3"/>
      <c r="R1" s="3"/>
      <c r="S1" s="661"/>
      <c r="T1" s="3"/>
      <c r="U1" s="3"/>
      <c r="V1" s="3"/>
      <c r="AC1" s="1"/>
      <c r="AD1" s="1"/>
    </row>
    <row r="2" spans="1:40" ht="29.4" customHeight="1" thickBot="1" x14ac:dyDescent="0.4">
      <c r="A2" s="1"/>
      <c r="B2" s="1201" t="s">
        <v>609</v>
      </c>
      <c r="C2" s="1202"/>
      <c r="D2" s="1202"/>
      <c r="E2" s="1202"/>
      <c r="F2" s="1202"/>
      <c r="G2" s="1"/>
      <c r="H2" s="1203" t="s">
        <v>1</v>
      </c>
      <c r="I2" s="1203"/>
      <c r="J2" s="1203"/>
      <c r="K2" s="1203"/>
      <c r="L2" s="1203"/>
      <c r="M2" s="1203"/>
      <c r="N2" s="1203"/>
      <c r="O2" s="7"/>
      <c r="P2" s="7"/>
      <c r="Q2" s="1203" t="s">
        <v>2</v>
      </c>
      <c r="R2" s="1203"/>
      <c r="S2" s="1203"/>
      <c r="T2" s="1203"/>
      <c r="U2" s="1203"/>
      <c r="V2" s="1203"/>
      <c r="W2" s="1203"/>
      <c r="X2" s="7"/>
      <c r="Y2" s="1203" t="s">
        <v>3</v>
      </c>
      <c r="Z2" s="1203"/>
      <c r="AA2" s="1203"/>
      <c r="AB2" s="685"/>
      <c r="AC2" s="685"/>
      <c r="AD2" s="1203" t="s">
        <v>4</v>
      </c>
      <c r="AE2" s="1203"/>
      <c r="AF2" s="1203"/>
      <c r="AG2" s="1203"/>
      <c r="AH2" s="1203"/>
      <c r="AI2" s="8"/>
    </row>
    <row r="3" spans="1:40" ht="18.899999999999999" customHeight="1" thickBot="1" x14ac:dyDescent="0.4">
      <c r="A3" s="1"/>
      <c r="B3" s="1"/>
      <c r="D3" s="1"/>
      <c r="E3" s="1"/>
      <c r="F3" s="9"/>
      <c r="G3" s="1"/>
      <c r="H3" s="10" t="s">
        <v>5</v>
      </c>
      <c r="I3" s="11" t="s">
        <v>6</v>
      </c>
      <c r="J3" s="12"/>
      <c r="K3" s="13" t="s">
        <v>8</v>
      </c>
      <c r="L3" s="13" t="s">
        <v>9</v>
      </c>
      <c r="M3" s="13" t="s">
        <v>10</v>
      </c>
      <c r="N3" s="14" t="s">
        <v>592</v>
      </c>
      <c r="O3" s="15"/>
      <c r="P3" s="15"/>
      <c r="Q3" s="11" t="s">
        <v>12</v>
      </c>
      <c r="R3" s="13" t="s">
        <v>7</v>
      </c>
      <c r="S3" s="662" t="s">
        <v>8</v>
      </c>
      <c r="T3" s="13" t="s">
        <v>9</v>
      </c>
      <c r="U3" s="13" t="s">
        <v>10</v>
      </c>
      <c r="V3" s="13" t="s">
        <v>11</v>
      </c>
      <c r="W3" s="14" t="s">
        <v>13</v>
      </c>
      <c r="X3" s="15"/>
      <c r="Y3" s="11" t="s">
        <v>14</v>
      </c>
      <c r="Z3" s="13" t="s">
        <v>15</v>
      </c>
      <c r="AA3" s="14" t="s">
        <v>10</v>
      </c>
      <c r="AB3" s="686"/>
      <c r="AC3" s="686"/>
      <c r="AD3" s="1101" t="s">
        <v>14</v>
      </c>
      <c r="AE3" s="1102" t="s">
        <v>385</v>
      </c>
      <c r="AF3" s="1103" t="s">
        <v>16</v>
      </c>
      <c r="AG3" s="1104" t="s">
        <v>448</v>
      </c>
      <c r="AH3" s="1198" t="s">
        <v>386</v>
      </c>
      <c r="AI3" s="1198"/>
      <c r="AJ3" s="1198"/>
      <c r="AK3" s="1105" t="s">
        <v>449</v>
      </c>
      <c r="AL3" s="5"/>
    </row>
    <row r="4" spans="1:40" ht="13.5" customHeight="1" thickBot="1" x14ac:dyDescent="0.4">
      <c r="A4" s="1"/>
      <c r="B4" s="501"/>
      <c r="C4" s="501"/>
      <c r="D4" s="501"/>
      <c r="E4" s="501"/>
      <c r="F4" s="9"/>
      <c r="G4" s="1"/>
      <c r="H4" s="9"/>
      <c r="I4" s="16"/>
      <c r="J4" s="17"/>
      <c r="K4" s="18"/>
      <c r="L4" s="18"/>
      <c r="M4" s="18"/>
      <c r="N4" s="18"/>
      <c r="O4" s="1"/>
      <c r="P4" s="1"/>
      <c r="Q4" s="16"/>
      <c r="R4" s="18"/>
      <c r="S4" s="103"/>
      <c r="T4" s="18"/>
      <c r="U4" s="19"/>
      <c r="V4" s="19"/>
      <c r="W4" s="18"/>
      <c r="X4" s="1"/>
      <c r="Y4" s="16"/>
      <c r="Z4" s="18"/>
      <c r="AA4" s="18"/>
      <c r="AB4" s="1"/>
      <c r="AC4" s="1"/>
      <c r="AD4" s="1001" t="s">
        <v>563</v>
      </c>
      <c r="AE4" s="1106" t="s">
        <v>529</v>
      </c>
      <c r="AF4" s="1107" t="s">
        <v>94</v>
      </c>
      <c r="AG4" s="1014">
        <f>HLOOKUP($C$5,'TGL Rails and Iccmax'!$AG$5:$AY$102, MATCH('TGL-UP3UP4 Power Map'!$AD4 &amp; " - " &amp; AG$3 &amp; "*/*"&amp;YU_Power_Settings&amp;"*",Volume_Load_Names,0)+1, FALSE)</f>
        <v>25</v>
      </c>
      <c r="AH4" s="1005">
        <v>0</v>
      </c>
      <c r="AI4" s="1006" t="s">
        <v>387</v>
      </c>
      <c r="AJ4" s="1007">
        <v>0</v>
      </c>
      <c r="AK4" s="1108">
        <f>HLOOKUP($C$5,'TGL Rails and Iccmax'!$AG$5:$AY$102, MATCH('TGL-UP3UP4 Power Map'!$AD4 &amp; " - " &amp; AK$3 &amp; "*/*"&amp;YU_Power_Settings&amp;"*",Volume_Load_Names,0)+1, FALSE)</f>
        <v>15</v>
      </c>
      <c r="AL4" s="1157" t="s">
        <v>17</v>
      </c>
      <c r="AM4" s="2" t="str">
        <f>$AD4 &amp; " - " &amp; AG$3 &amp; "*/*"&amp;YU_Power_Settings&amp;"*"</f>
        <v>VCCIN (IMVP9) - IccMax*/*Performance*</v>
      </c>
      <c r="AN4" s="2" t="str">
        <f>$AD4 &amp; " - " &amp; AK$3 &amp; "*/*"&amp;YU_Power_Settings&amp;"*"</f>
        <v>VCCIN (IMVP9) - ITDC*/*Performance*</v>
      </c>
    </row>
    <row r="5" spans="1:40" ht="13.5" customHeight="1" thickBot="1" x14ac:dyDescent="0.35">
      <c r="A5" s="1"/>
      <c r="B5" s="725" t="s">
        <v>532</v>
      </c>
      <c r="C5" s="1199" t="s">
        <v>594</v>
      </c>
      <c r="D5" s="1199"/>
      <c r="E5" s="1200"/>
      <c r="F5" s="654" t="str">
        <f>INDEX(ICL_Product_Lines,MATCH(YU_SKU_Selection,ICL_SKUs,0))</f>
        <v>ICL-U</v>
      </c>
      <c r="G5" s="1"/>
      <c r="H5" s="10" t="s">
        <v>18</v>
      </c>
      <c r="I5" s="924" t="s">
        <v>563</v>
      </c>
      <c r="J5" s="20" t="s">
        <v>95</v>
      </c>
      <c r="K5" s="21" t="s">
        <v>19</v>
      </c>
      <c r="L5" s="51" t="s">
        <v>94</v>
      </c>
      <c r="M5" s="22">
        <f>AA5</f>
        <v>25</v>
      </c>
      <c r="N5" s="511">
        <f>VLOOKUP(Y5,$AD$4:$AK$93,8,FALSE)</f>
        <v>15</v>
      </c>
      <c r="O5" s="1"/>
      <c r="P5" s="1"/>
      <c r="Q5" s="16"/>
      <c r="R5" s="18"/>
      <c r="S5" s="103"/>
      <c r="T5" s="23"/>
      <c r="U5" s="19"/>
      <c r="V5" s="19"/>
      <c r="W5" s="24"/>
      <c r="X5" s="1"/>
      <c r="Y5" s="25" t="str">
        <f>I5</f>
        <v>VCCIN (IMVP9)</v>
      </c>
      <c r="Z5" s="604" t="str">
        <f>VLOOKUP(Y5,$AD$4:$AH$93,3,FALSE)</f>
        <v>SVID</v>
      </c>
      <c r="AA5" s="688">
        <f>VLOOKUP(Y5,$AD$4:$AH$93,4,FALSE)</f>
        <v>25</v>
      </c>
      <c r="AB5" s="1"/>
      <c r="AC5" s="1"/>
      <c r="AD5" s="513"/>
      <c r="AE5" s="514"/>
      <c r="AF5" s="515"/>
      <c r="AG5" s="516"/>
      <c r="AH5" s="737"/>
      <c r="AI5" s="738"/>
      <c r="AJ5" s="739"/>
      <c r="AK5" s="523"/>
      <c r="AL5" s="1158"/>
    </row>
    <row r="6" spans="1:40" ht="13.5" customHeight="1" x14ac:dyDescent="0.3">
      <c r="A6" s="1"/>
      <c r="B6" s="726" t="s">
        <v>421</v>
      </c>
      <c r="C6" s="1172" t="s">
        <v>597</v>
      </c>
      <c r="D6" s="1172"/>
      <c r="E6" s="1173"/>
      <c r="F6" s="654"/>
      <c r="G6" s="1"/>
      <c r="H6" s="9"/>
      <c r="I6" s="16"/>
      <c r="J6" s="17"/>
      <c r="K6" s="26"/>
      <c r="L6" s="27"/>
      <c r="M6" s="28"/>
      <c r="N6" s="28"/>
      <c r="O6" s="1"/>
      <c r="P6" s="1"/>
      <c r="Q6" s="16"/>
      <c r="R6" s="18"/>
      <c r="S6" s="103"/>
      <c r="T6" s="23"/>
      <c r="U6" s="19"/>
      <c r="V6" s="19"/>
      <c r="W6" s="24"/>
      <c r="X6" s="1"/>
      <c r="Y6" s="16"/>
      <c r="Z6" s="29"/>
      <c r="AA6" s="64"/>
      <c r="AB6" s="1"/>
      <c r="AC6" s="1"/>
      <c r="AD6" s="1011" t="s">
        <v>21</v>
      </c>
      <c r="AE6" s="1109" t="s">
        <v>436</v>
      </c>
      <c r="AF6" s="1110">
        <f>IF(LEFT($C5,3)="UP4",1.65, 1.8)</f>
        <v>1.65</v>
      </c>
      <c r="AG6" s="1111">
        <f>IF($C6="Performance",HLOOKUP($C$5,'TGL Rails and Iccmax'!$W$5:$AN$103,19,FALSE),HLOOKUP($C$5,'TGL Rails and Iccmax'!$W$5:$AN$103,18,FALSE))</f>
        <v>25</v>
      </c>
      <c r="AH6" s="1112"/>
      <c r="AI6" s="1113"/>
      <c r="AJ6" s="1114"/>
      <c r="AK6" s="1115">
        <f>IF($C6="Performance",HLOOKUP($C$5,'TGL Rails and Iccmax'!$W$5:$AN$103,22,FALSE),HLOOKUP($C$5,'TGL Rails and Iccmax'!$W$5:$AN$103,21,FALSE))</f>
        <v>12</v>
      </c>
      <c r="AL6" s="1158"/>
      <c r="AN6" s="117"/>
    </row>
    <row r="7" spans="1:40" ht="13.5" customHeight="1" thickBot="1" x14ac:dyDescent="0.35">
      <c r="A7" s="1"/>
      <c r="B7" s="726" t="s">
        <v>422</v>
      </c>
      <c r="C7" s="1172" t="s">
        <v>585</v>
      </c>
      <c r="D7" s="1172"/>
      <c r="E7" s="1173"/>
      <c r="F7" s="654">
        <f>IF(C7="Deep Sleep Enabled", 1,0)</f>
        <v>1</v>
      </c>
      <c r="G7" s="1"/>
      <c r="H7" s="9"/>
      <c r="I7" s="16"/>
      <c r="J7" s="30"/>
      <c r="K7" s="26"/>
      <c r="L7" s="31"/>
      <c r="M7" s="32"/>
      <c r="N7" s="32"/>
      <c r="O7" s="1"/>
      <c r="P7" s="1"/>
      <c r="Q7" s="33"/>
      <c r="R7" s="18"/>
      <c r="S7" s="103"/>
      <c r="T7" s="23"/>
      <c r="U7" s="19"/>
      <c r="V7" s="19"/>
      <c r="W7" s="24"/>
      <c r="X7" s="1"/>
      <c r="Z7" s="48"/>
      <c r="AA7" s="108"/>
      <c r="AB7" s="1"/>
      <c r="AC7" s="1"/>
      <c r="AD7" s="513"/>
      <c r="AE7" s="517"/>
      <c r="AF7" s="515"/>
      <c r="AG7" s="516"/>
      <c r="AH7" s="590"/>
      <c r="AI7" s="591"/>
      <c r="AJ7" s="592"/>
      <c r="AK7" s="523"/>
      <c r="AL7" s="1158"/>
      <c r="AN7" s="117"/>
    </row>
    <row r="8" spans="1:40" ht="13.5" customHeight="1" thickBot="1" x14ac:dyDescent="0.35">
      <c r="A8" s="1"/>
      <c r="B8" s="726" t="s">
        <v>423</v>
      </c>
      <c r="C8" s="1172" t="s">
        <v>578</v>
      </c>
      <c r="D8" s="1172"/>
      <c r="E8" s="1173"/>
      <c r="F8" s="654">
        <f>IF(ISERROR(SEARCH("*LPDDR4X*",YU_Memory_Type)),IF(ISERROR(SEARCH("*LPDDR*",YU_Memory_Type)),1,2),3)</f>
        <v>3</v>
      </c>
      <c r="G8" s="1"/>
      <c r="H8" s="9"/>
      <c r="I8" s="129" t="s">
        <v>21</v>
      </c>
      <c r="J8" s="130" t="s">
        <v>98</v>
      </c>
      <c r="K8" s="131" t="s">
        <v>19</v>
      </c>
      <c r="L8" s="132" t="s">
        <v>22</v>
      </c>
      <c r="M8" s="22">
        <f>IF(I8="VCCIN_AUX",AG6,AG7)</f>
        <v>25</v>
      </c>
      <c r="N8" s="511">
        <f>IF(I8="VCCIN_AUX",AK6,AK7)</f>
        <v>12</v>
      </c>
      <c r="O8" s="1"/>
      <c r="P8" s="1"/>
      <c r="Q8" s="33"/>
      <c r="R8" s="18"/>
      <c r="S8" s="103"/>
      <c r="T8" s="23"/>
      <c r="U8" s="19"/>
      <c r="V8" s="19"/>
      <c r="W8" s="24"/>
      <c r="X8" s="1"/>
      <c r="Y8" s="25" t="str">
        <f>AD6</f>
        <v>VCCIN_AUX</v>
      </c>
      <c r="Z8" s="34">
        <f>VLOOKUP(Y8,$AD$4:$AH$93,3,FALSE)</f>
        <v>1.65</v>
      </c>
      <c r="AA8" s="688">
        <f>IFERROR(VLOOKUP(Y8,$AD$4:$AH$93,4,FALSE), "N/A")</f>
        <v>25</v>
      </c>
      <c r="AB8" s="1"/>
      <c r="AC8" s="1"/>
      <c r="AD8" s="1116"/>
      <c r="AE8" s="1117"/>
      <c r="AF8" s="1110"/>
      <c r="AG8" s="1111"/>
      <c r="AH8" s="1118"/>
      <c r="AI8" s="516"/>
      <c r="AJ8" s="1119"/>
      <c r="AK8" s="524"/>
      <c r="AL8" s="1158"/>
      <c r="AM8" s="521"/>
      <c r="AN8" s="117"/>
    </row>
    <row r="9" spans="1:40" ht="13.5" customHeight="1" thickBot="1" x14ac:dyDescent="0.35">
      <c r="A9" s="1"/>
      <c r="B9" s="726" t="s">
        <v>424</v>
      </c>
      <c r="C9" s="1174" t="s">
        <v>233</v>
      </c>
      <c r="D9" s="1175"/>
      <c r="E9" s="1176"/>
      <c r="F9" s="654">
        <f>IF(C9="Volume", 0,1)</f>
        <v>1</v>
      </c>
      <c r="G9" s="1"/>
      <c r="H9" s="9"/>
      <c r="I9" s="659"/>
      <c r="J9" s="507"/>
      <c r="K9" s="508"/>
      <c r="L9" s="63"/>
      <c r="M9" s="509"/>
      <c r="N9" s="37"/>
      <c r="O9" s="1"/>
      <c r="P9" s="1"/>
      <c r="Q9" s="33"/>
      <c r="R9" s="18"/>
      <c r="S9" s="103"/>
      <c r="T9" s="23"/>
      <c r="U9" s="19"/>
      <c r="V9" s="19"/>
      <c r="W9" s="24"/>
      <c r="X9" s="1"/>
      <c r="Y9" s="16"/>
      <c r="Z9" s="67"/>
      <c r="AA9" s="1"/>
      <c r="AB9" s="1"/>
      <c r="AC9" s="1"/>
      <c r="AD9" s="522"/>
      <c r="AE9" s="514"/>
      <c r="AF9" s="515"/>
      <c r="AG9" s="516"/>
      <c r="AH9" s="593"/>
      <c r="AI9" s="594"/>
      <c r="AJ9" s="739"/>
      <c r="AK9" s="554"/>
      <c r="AL9" s="1158"/>
      <c r="AN9" s="117"/>
    </row>
    <row r="10" spans="1:40" ht="13.5" customHeight="1" thickBot="1" x14ac:dyDescent="0.3">
      <c r="A10" s="1"/>
      <c r="B10" s="1196" t="s">
        <v>441</v>
      </c>
      <c r="C10" s="1193"/>
      <c r="D10" s="1194"/>
      <c r="E10" s="1195"/>
      <c r="F10" s="729">
        <v>0</v>
      </c>
      <c r="G10" s="1"/>
      <c r="H10" s="10" t="s">
        <v>25</v>
      </c>
      <c r="I10" s="1177" t="s">
        <v>383</v>
      </c>
      <c r="J10" s="1178"/>
      <c r="K10" s="1178"/>
      <c r="L10" s="1178"/>
      <c r="M10" s="1178"/>
      <c r="N10" s="1179"/>
      <c r="O10" s="1"/>
      <c r="P10" s="1"/>
      <c r="Q10" s="716" t="str">
        <f>IF(R10=R11,"VCCST+VCCSTG","VCCST")</f>
        <v>VCCST</v>
      </c>
      <c r="R10" s="703" t="str">
        <f>HLOOKUP(Segment_Tier,Power_Gates_Enable,MATCH(IF(ISERROR(SEARCH("Dx_",$Y10)),$Y10,REPLACE($Y10,SEARCH("Dx_",$Y10),3,"S_")),Volume_Load_Names,0)+1,FALSE)</f>
        <v>SLP_S3#</v>
      </c>
      <c r="S10" s="706" t="s">
        <v>413</v>
      </c>
      <c r="T10" s="717">
        <v>1.05</v>
      </c>
      <c r="U10" s="718">
        <v>0.22999999999999998</v>
      </c>
      <c r="V10" s="719">
        <v>0</v>
      </c>
      <c r="W10" s="720"/>
      <c r="X10" s="1"/>
      <c r="Y10" s="75" t="s">
        <v>566</v>
      </c>
      <c r="Z10" s="727">
        <f>VLOOKUP(Y10,$AD$4:$AH$93,3,FALSE)</f>
        <v>1.05</v>
      </c>
      <c r="AA10" s="724">
        <f>VLOOKUP(Y10,$AD$4:$AH$93,4,FALSE)</f>
        <v>0.3</v>
      </c>
      <c r="AB10" s="1"/>
      <c r="AC10" s="1"/>
      <c r="AD10" s="1019" t="s">
        <v>565</v>
      </c>
      <c r="AE10" s="1120" t="s">
        <v>388</v>
      </c>
      <c r="AF10" s="1121">
        <v>1.05</v>
      </c>
      <c r="AG10" s="1014">
        <f>IFERROR(HLOOKUP($C$5,'TGL Rails and Iccmax'!$AG$5:$AY$102, MATCH(IF(ISERROR(SEARCH("Dx_",$AD10)),$AD10,REPLACE($AD10,SEARCH("Dx_",$AD10),3,"S_")),Volume_Load_Names,0)+1, FALSE),"N/A")</f>
        <v>0.25</v>
      </c>
      <c r="AH10" s="1015">
        <v>0</v>
      </c>
      <c r="AI10" s="559" t="s">
        <v>387</v>
      </c>
      <c r="AJ10" s="1016">
        <v>0</v>
      </c>
      <c r="AK10" s="524"/>
      <c r="AL10" s="1158"/>
      <c r="AN10" s="117"/>
    </row>
    <row r="11" spans="1:40" ht="13.5" customHeight="1" thickBot="1" x14ac:dyDescent="0.3">
      <c r="A11" s="1"/>
      <c r="B11" s="1197"/>
      <c r="C11" s="1189"/>
      <c r="D11" s="1190"/>
      <c r="E11" s="1191"/>
      <c r="F11" s="729">
        <v>1</v>
      </c>
      <c r="G11" s="1"/>
      <c r="H11" s="18"/>
      <c r="I11" s="6"/>
      <c r="J11" s="504"/>
      <c r="K11" s="503"/>
      <c r="L11" s="505"/>
      <c r="M11" s="506"/>
      <c r="N11" s="506"/>
      <c r="O11" s="16"/>
      <c r="P11" s="16"/>
      <c r="Q11" s="716" t="str">
        <f>IF(Q10="VccST+VccSTG","","VccSTG")</f>
        <v>VccSTG</v>
      </c>
      <c r="R11" s="703" t="str">
        <f>HLOOKUP(Segment_Tier,Power_Gates_Enable,MATCH(IF(ISERROR(SEARCH("Dx_",$Y11)),$Y11,REPLACE($Y11,SEARCH("Dx_",$Y11),3,"S_")),Volume_Load_Names,0)+1,FALSE)</f>
        <v>CPU_C10_GATE#</v>
      </c>
      <c r="S11" s="706" t="s">
        <v>413</v>
      </c>
      <c r="T11" s="717">
        <v>1.05</v>
      </c>
      <c r="U11" s="718">
        <v>0.15</v>
      </c>
      <c r="V11" s="719">
        <v>0</v>
      </c>
      <c r="W11" s="720"/>
      <c r="X11" s="16"/>
      <c r="Y11" s="723" t="s">
        <v>565</v>
      </c>
      <c r="Z11" s="728">
        <f>VLOOKUP(Y11,$AD$4:$AH$93,3,FALSE)</f>
        <v>1.05</v>
      </c>
      <c r="AA11" s="689">
        <f>VLOOKUP(Y11,$AD$4:$AH$93,4,FALSE)</f>
        <v>0.25</v>
      </c>
      <c r="AB11" s="1"/>
      <c r="AC11" s="1"/>
      <c r="AD11" s="936"/>
      <c r="AE11" s="740"/>
      <c r="AF11" s="740"/>
      <c r="AG11" s="740"/>
      <c r="AH11" s="740"/>
      <c r="AI11" s="740"/>
      <c r="AJ11" s="740"/>
      <c r="AK11" s="554"/>
      <c r="AL11" s="1158"/>
      <c r="AN11" s="117"/>
    </row>
    <row r="12" spans="1:40" ht="13.5" customHeight="1" x14ac:dyDescent="0.3">
      <c r="A12" s="1"/>
      <c r="B12" s="128"/>
      <c r="C12" s="1192"/>
      <c r="D12" s="1192"/>
      <c r="E12" s="1192"/>
      <c r="F12" s="654" t="str">
        <f>CONCATENATE($F$5,YU_Pricing_Tier)</f>
        <v>ICL-UPremium</v>
      </c>
      <c r="G12" s="1"/>
      <c r="H12" s="18"/>
      <c r="I12" s="40"/>
      <c r="J12" s="41"/>
      <c r="K12" s="40"/>
      <c r="L12" s="42"/>
      <c r="M12" s="43"/>
      <c r="N12" s="43"/>
      <c r="O12" s="1"/>
      <c r="P12" s="16"/>
      <c r="Q12" s="36"/>
      <c r="X12" s="1"/>
      <c r="Y12"/>
      <c r="Z12" s="128"/>
      <c r="AA12" s="128"/>
      <c r="AB12" s="16"/>
      <c r="AC12" s="16"/>
      <c r="AD12" s="1019" t="s">
        <v>566</v>
      </c>
      <c r="AE12" s="1120" t="s">
        <v>389</v>
      </c>
      <c r="AF12" s="1121">
        <v>1.05</v>
      </c>
      <c r="AG12" s="1014">
        <f>IFERROR(HLOOKUP($C$5,'TGL Rails and Iccmax'!$AG$5:$AY$102, MATCH(IF(ISERROR(SEARCH("Dx_",$AD12)),$AD12,REPLACE($AD12,SEARCH("Dx_",$AD12),3,"S_")),Volume_Load_Names,0)+1, FALSE),"N/A")</f>
        <v>0.3</v>
      </c>
      <c r="AH12" s="1112">
        <v>0</v>
      </c>
      <c r="AI12" s="1113" t="s">
        <v>387</v>
      </c>
      <c r="AJ12" s="1114">
        <v>0</v>
      </c>
      <c r="AK12" s="524"/>
      <c r="AL12" s="1158"/>
      <c r="AN12" s="117"/>
    </row>
    <row r="13" spans="1:40" ht="13.5" customHeight="1" thickBot="1" x14ac:dyDescent="0.35">
      <c r="A13" s="1"/>
      <c r="B13" s="128"/>
      <c r="C13" s="721"/>
      <c r="D13" s="721"/>
      <c r="E13" s="721"/>
      <c r="F13" s="9"/>
      <c r="G13" s="1"/>
      <c r="H13" s="18"/>
      <c r="I13" s="40"/>
      <c r="J13" s="41"/>
      <c r="K13" s="40"/>
      <c r="L13" s="42"/>
      <c r="M13" s="43"/>
      <c r="N13" s="43"/>
      <c r="O13" s="1"/>
      <c r="P13" s="16"/>
      <c r="Q13" s="36"/>
      <c r="X13" s="16"/>
      <c r="Y13" s="16"/>
      <c r="Z13" s="16"/>
      <c r="AA13" s="16"/>
      <c r="AB13" s="16"/>
      <c r="AC13" s="16"/>
      <c r="AD13" s="522"/>
      <c r="AE13" s="525"/>
      <c r="AF13" s="529"/>
      <c r="AG13" s="530"/>
      <c r="AH13" s="518"/>
      <c r="AI13" s="519"/>
      <c r="AJ13" s="520"/>
      <c r="AK13" s="535"/>
      <c r="AL13" s="1158"/>
      <c r="AN13" s="117"/>
    </row>
    <row r="14" spans="1:40" ht="13.5" customHeight="1" thickBot="1" x14ac:dyDescent="0.35">
      <c r="A14" s="1"/>
      <c r="B14" s="128"/>
      <c r="C14" s="128"/>
      <c r="D14" s="128"/>
      <c r="E14" s="128"/>
      <c r="F14" s="9"/>
      <c r="G14" s="1"/>
      <c r="H14" s="512" t="s">
        <v>26</v>
      </c>
      <c r="I14" s="50" t="s">
        <v>369</v>
      </c>
      <c r="J14" s="20" t="s">
        <v>93</v>
      </c>
      <c r="K14" s="900" t="str">
        <f>IF(I14="","","VDC")</f>
        <v>VDC</v>
      </c>
      <c r="L14" s="51">
        <f>Z14</f>
        <v>0.6</v>
      </c>
      <c r="M14" s="22">
        <f>AA14</f>
        <v>0.71</v>
      </c>
      <c r="N14" s="510"/>
      <c r="O14" s="1"/>
      <c r="P14" s="16"/>
      <c r="Q14" s="16"/>
      <c r="R14" s="18"/>
      <c r="S14" s="103"/>
      <c r="T14" s="23"/>
      <c r="U14" s="32"/>
      <c r="V14" s="19"/>
      <c r="W14" s="24"/>
      <c r="X14" s="1"/>
      <c r="Y14" s="722" t="str">
        <f>AD19</f>
        <v>VDDQ_Tx</v>
      </c>
      <c r="Z14" s="34">
        <f>VLOOKUP(Y14,$AD$4:$AH$93,3,FALSE)</f>
        <v>0.6</v>
      </c>
      <c r="AA14" s="687">
        <f>IF(VLOOKUP(Y14,$AD$4:$AH$93,4,FALSE)="N/A", "",VLOOKUP(Y14,$AD$4:$AH$93,4,FALSE))</f>
        <v>0.71</v>
      </c>
      <c r="AB14" s="1"/>
      <c r="AC14" s="1"/>
      <c r="AD14" s="1122" t="s">
        <v>561</v>
      </c>
      <c r="AE14" s="1012" t="s">
        <v>583</v>
      </c>
      <c r="AF14" s="1121">
        <f>AF17</f>
        <v>1.1000000000000001</v>
      </c>
      <c r="AG14" s="1014">
        <f>IFERROR(HLOOKUP($C$5,'TGL Rails and Iccmax'!$AG$5:$AY$102, MATCH(IF(ISERROR(SEARCH("Dx_",$AD14)),$AD14,REPLACE($AD14,SEARCH("Dx_",$AD14),3,"S_")),Volume_Load_Names,0)+1, FALSE),"N/A")</f>
        <v>1.5</v>
      </c>
      <c r="AH14" s="1112">
        <v>0</v>
      </c>
      <c r="AI14" s="1113" t="s">
        <v>387</v>
      </c>
      <c r="AJ14" s="1114">
        <v>0</v>
      </c>
      <c r="AK14" s="528"/>
      <c r="AL14" s="1158"/>
      <c r="AM14" s="521"/>
      <c r="AN14" s="117"/>
    </row>
    <row r="15" spans="1:40" ht="13.5" customHeight="1" thickBot="1" x14ac:dyDescent="0.35">
      <c r="A15" s="1"/>
      <c r="B15" s="1"/>
      <c r="C15" s="1"/>
      <c r="D15" s="1"/>
      <c r="E15" s="1"/>
      <c r="F15" s="9"/>
      <c r="G15" s="1"/>
      <c r="H15" s="54"/>
      <c r="I15" s="57"/>
      <c r="J15" s="17"/>
      <c r="K15" s="18"/>
      <c r="L15" s="66"/>
      <c r="M15" s="28"/>
      <c r="N15" s="28"/>
      <c r="O15" s="1"/>
      <c r="P15" s="16"/>
      <c r="Q15" s="16"/>
      <c r="R15" s="18"/>
      <c r="S15" s="103"/>
      <c r="T15" s="23"/>
      <c r="U15" s="32"/>
      <c r="V15" s="19"/>
      <c r="W15" s="24"/>
      <c r="X15" s="16"/>
      <c r="AB15" s="1"/>
      <c r="AC15" s="1"/>
      <c r="AD15" s="1123"/>
      <c r="AE15" s="1124"/>
      <c r="AF15" s="1124"/>
      <c r="AG15" s="1124"/>
      <c r="AH15" s="1124"/>
      <c r="AI15" s="1125"/>
      <c r="AJ15" s="1124"/>
      <c r="AK15" s="536"/>
      <c r="AL15" s="1158"/>
      <c r="AM15" s="527"/>
      <c r="AN15" s="117"/>
    </row>
    <row r="16" spans="1:40" ht="13.5" customHeight="1" thickBot="1" x14ac:dyDescent="0.3">
      <c r="A16" s="1"/>
      <c r="B16" s="1"/>
      <c r="C16" s="1"/>
      <c r="D16" s="1"/>
      <c r="E16" s="1"/>
      <c r="F16" s="9"/>
      <c r="G16" s="1"/>
      <c r="H16" s="16"/>
      <c r="I16" s="40"/>
      <c r="J16" s="41"/>
      <c r="K16" s="53"/>
      <c r="L16" s="42"/>
      <c r="M16" s="43"/>
      <c r="N16" s="43"/>
      <c r="O16" s="1"/>
      <c r="P16" s="16"/>
      <c r="Q16" s="36"/>
      <c r="X16" s="1"/>
      <c r="Y16" s="25" t="str">
        <f>AD17</f>
        <v>VDD2_MEM</v>
      </c>
      <c r="Z16" s="34">
        <f>VLOOKUP(Y16,$AD$4:$AH$93,3,FALSE)</f>
        <v>1.1000000000000001</v>
      </c>
      <c r="AA16" s="741">
        <f>VLOOKUP(Y16,$AD$4:$AH$93,4,FALSE)</f>
        <v>4.87</v>
      </c>
      <c r="AB16" s="1"/>
      <c r="AC16" s="1"/>
      <c r="AD16" s="939"/>
      <c r="AE16" s="79"/>
      <c r="AF16" s="537"/>
      <c r="AG16" s="538"/>
      <c r="AH16" s="531"/>
      <c r="AI16" s="532"/>
      <c r="AJ16" s="533"/>
      <c r="AK16" s="539"/>
      <c r="AL16" s="934"/>
      <c r="AM16" s="52"/>
      <c r="AN16" s="117"/>
    </row>
    <row r="17" spans="1:43" ht="13.5" customHeight="1" thickBot="1" x14ac:dyDescent="0.3">
      <c r="A17" s="1"/>
      <c r="B17" s="1"/>
      <c r="C17" s="1"/>
      <c r="D17" s="1"/>
      <c r="E17" s="1"/>
      <c r="F17" s="9"/>
      <c r="G17" s="1"/>
      <c r="H17" s="16"/>
      <c r="I17" s="129" t="s">
        <v>425</v>
      </c>
      <c r="J17" s="20" t="s">
        <v>93</v>
      </c>
      <c r="K17" s="21" t="s">
        <v>19</v>
      </c>
      <c r="L17" s="51">
        <f>Z16</f>
        <v>1.1000000000000001</v>
      </c>
      <c r="M17" s="22">
        <f>SUM(AA16:AA18)</f>
        <v>6.37</v>
      </c>
      <c r="N17" s="510"/>
      <c r="O17" s="1"/>
      <c r="P17" s="16"/>
      <c r="Q17" s="16"/>
      <c r="R17" s="18"/>
      <c r="S17" s="103"/>
      <c r="T17" s="23"/>
      <c r="U17" s="32"/>
      <c r="V17" s="19"/>
      <c r="W17" s="24"/>
      <c r="X17" s="1"/>
      <c r="Y17" s="927" t="str">
        <f>$AD$14</f>
        <v>VDD2_CPU</v>
      </c>
      <c r="Z17" s="928">
        <f>VLOOKUP(Y17,$AD$4:$AH$93,3,FALSE)</f>
        <v>1.1000000000000001</v>
      </c>
      <c r="AA17" s="929">
        <f>VLOOKUP(Y17,$AD$4:$AH$93,4,FALSE)</f>
        <v>1.5</v>
      </c>
      <c r="AB17" s="1"/>
      <c r="AC17" s="1"/>
      <c r="AD17" s="1001" t="s">
        <v>562</v>
      </c>
      <c r="AE17" s="1126" t="s">
        <v>337</v>
      </c>
      <c r="AF17" s="1127">
        <f>INDEX(DRAM_TGL!$P$9:$U$25,MATCH('TGL-UP3UP4 Power Map'!$C$8,DRAM_TGL!$A$9:$A$25,0),MATCH('TGL-UP3UP4 Power Map'!AD17,DRAM_TGL!$B$7:$G$7,0))</f>
        <v>1.1000000000000001</v>
      </c>
      <c r="AG17" s="1128">
        <f>INDEX(DRAM_TGL!$B$9:$G$25,MATCH('TGL-UP3UP4 Power Map'!$C$8,DRAM_TGL!$A$9:$A$25,0),MATCH('TGL-UP3UP4 Power Map'!AD17,DRAM_TGL!$B$7:$G$7,0))</f>
        <v>4.87</v>
      </c>
      <c r="AH17" s="1005"/>
      <c r="AI17" s="1006"/>
      <c r="AJ17" s="1007"/>
      <c r="AK17" s="649"/>
      <c r="AL17" s="1159" t="s">
        <v>391</v>
      </c>
      <c r="AM17" s="52"/>
      <c r="AN17" s="117"/>
    </row>
    <row r="18" spans="1:43" ht="13.5" customHeight="1" x14ac:dyDescent="0.3">
      <c r="A18" s="1"/>
      <c r="B18" s="1"/>
      <c r="C18" s="1"/>
      <c r="D18" s="1"/>
      <c r="E18" s="1"/>
      <c r="F18" s="9"/>
      <c r="G18" s="1"/>
      <c r="H18" s="65"/>
      <c r="I18" s="57"/>
      <c r="J18" s="27"/>
      <c r="K18" s="27"/>
      <c r="L18" s="27"/>
      <c r="M18" s="28"/>
      <c r="N18" s="28"/>
      <c r="O18" s="1"/>
      <c r="P18" s="16"/>
      <c r="Q18" s="716"/>
      <c r="R18" s="703" t="e">
        <f>HLOOKUP(Segment_Tier,Power_Gates_Enable,MATCH(IF(ISERROR(SEARCH("Dx_",$Y18)),$Y18,REPLACE($Y18,SEARCH("Dx_",$Y18),3,"S_")),Volume_Load_Names,0)+1,FALSE)</f>
        <v>#N/A</v>
      </c>
      <c r="S18" s="706" t="s">
        <v>27</v>
      </c>
      <c r="T18" s="717">
        <v>1.1000000000000001</v>
      </c>
      <c r="U18" s="718">
        <f>AA18</f>
        <v>0</v>
      </c>
      <c r="V18" s="719">
        <v>0</v>
      </c>
      <c r="W18" s="720"/>
      <c r="X18" s="1"/>
      <c r="Y18"/>
      <c r="Z18" s="128"/>
      <c r="AA18" s="128"/>
      <c r="AB18" s="1"/>
      <c r="AC18" s="1"/>
      <c r="AD18" s="595"/>
      <c r="AE18" s="596"/>
      <c r="AF18" s="597"/>
      <c r="AG18" s="598"/>
      <c r="AH18" s="599"/>
      <c r="AI18" s="600"/>
      <c r="AJ18" s="601"/>
      <c r="AK18" s="542"/>
      <c r="AL18" s="1160"/>
      <c r="AM18" s="79"/>
      <c r="AN18" s="117"/>
    </row>
    <row r="19" spans="1:43" ht="13.5" customHeight="1" thickBot="1" x14ac:dyDescent="0.3">
      <c r="A19" s="1"/>
      <c r="B19" s="1"/>
      <c r="C19" s="1"/>
      <c r="D19" s="1"/>
      <c r="E19" s="1"/>
      <c r="F19" s="9"/>
      <c r="G19" s="1"/>
      <c r="H19" s="65"/>
      <c r="I19" s="16"/>
      <c r="J19" s="17"/>
      <c r="K19" s="16"/>
      <c r="L19" s="23"/>
      <c r="M19" s="32"/>
      <c r="N19" s="32"/>
      <c r="O19" s="1"/>
      <c r="P19" s="16"/>
      <c r="Q19" s="36"/>
      <c r="R19" s="60"/>
      <c r="S19" s="664"/>
      <c r="T19" s="61"/>
      <c r="U19" s="37"/>
      <c r="V19" s="38"/>
      <c r="W19" s="62"/>
      <c r="X19" s="1"/>
      <c r="Y19" s="16"/>
      <c r="Z19" s="63"/>
      <c r="AA19" s="64"/>
      <c r="AB19" s="1"/>
      <c r="AC19" s="1"/>
      <c r="AD19" s="1129" t="s">
        <v>369</v>
      </c>
      <c r="AE19" s="1130" t="s">
        <v>591</v>
      </c>
      <c r="AF19" s="1121">
        <f>INDEX(DRAM_TGL!$P$9:$U$25,MATCH('TGL-UP3UP4 Power Map'!$C$8,DRAM_TGL!$A$9:$A$25,0),MATCH('TGL-UP3UP4 Power Map'!AD19,DRAM_TGL!$B$7:$G$7,0))</f>
        <v>0.6</v>
      </c>
      <c r="AG19" s="1014">
        <f>INDEX(DRAM_TGL!$B$9:$G$25,MATCH('TGL-UP3UP4 Power Map'!$C$8,DRAM_TGL!$A$9:$A$25,0),MATCH('TGL-UP3UP4 Power Map'!AD19,DRAM_TGL!$B$7:$G$7,0))</f>
        <v>0.71</v>
      </c>
      <c r="AH19" s="1112"/>
      <c r="AI19" s="1113"/>
      <c r="AJ19" s="1114"/>
      <c r="AK19" s="542"/>
      <c r="AL19" s="1160"/>
      <c r="AM19" s="79"/>
      <c r="AN19" s="117"/>
      <c r="AQ19" s="79"/>
    </row>
    <row r="20" spans="1:43" ht="13.5" customHeight="1" thickBot="1" x14ac:dyDescent="0.35">
      <c r="A20" s="1"/>
      <c r="B20" s="1"/>
      <c r="C20" s="1"/>
      <c r="D20" s="1"/>
      <c r="E20" s="1"/>
      <c r="F20" s="9"/>
      <c r="G20" s="1"/>
      <c r="H20" s="18"/>
      <c r="I20" s="901" t="s">
        <v>99</v>
      </c>
      <c r="J20" s="20" t="s">
        <v>96</v>
      </c>
      <c r="K20" s="900" t="str">
        <f>IF($Y$33="","","VDC")</f>
        <v>VDC</v>
      </c>
      <c r="L20" s="51" t="str">
        <f>Z20</f>
        <v>N/A</v>
      </c>
      <c r="M20" s="22" t="str">
        <f>AA20</f>
        <v/>
      </c>
      <c r="N20" s="510"/>
      <c r="O20" s="128"/>
      <c r="P20" s="128"/>
      <c r="Q20" s="746"/>
      <c r="R20" s="128"/>
      <c r="S20" s="133"/>
      <c r="T20" s="128"/>
      <c r="U20" s="128"/>
      <c r="V20" s="128"/>
      <c r="W20" s="128"/>
      <c r="X20" s="128"/>
      <c r="Y20" s="25" t="s">
        <v>30</v>
      </c>
      <c r="Z20" s="34" t="str">
        <f>VLOOKUP(Y20,$AD$4:$AH$93,3,FALSE)</f>
        <v>N/A</v>
      </c>
      <c r="AA20" s="687" t="str">
        <f>IF(VLOOKUP(Y20,$AD$4:$AH$93,4,FALSE)="N/A", "",VLOOKUP(Y20,$AD$4:$AH$93,4,FALSE))</f>
        <v/>
      </c>
      <c r="AB20" s="1"/>
      <c r="AC20" s="1"/>
      <c r="AD20" s="46"/>
      <c r="AE20" s="56"/>
      <c r="AF20" s="540"/>
      <c r="AG20" s="541"/>
      <c r="AH20" s="531"/>
      <c r="AI20" s="532"/>
      <c r="AJ20" s="533"/>
      <c r="AK20" s="542"/>
      <c r="AL20" s="1160"/>
      <c r="AM20" s="79"/>
      <c r="AN20" s="117"/>
    </row>
    <row r="21" spans="1:43" ht="13.5" customHeight="1" thickBot="1" x14ac:dyDescent="0.35">
      <c r="A21" s="1"/>
      <c r="B21" s="1"/>
      <c r="C21" s="1"/>
      <c r="D21" s="1"/>
      <c r="E21" s="1"/>
      <c r="F21" s="9"/>
      <c r="G21" s="1"/>
      <c r="H21" s="9"/>
      <c r="I21" s="16"/>
      <c r="J21" s="17"/>
      <c r="K21" s="18"/>
      <c r="L21" s="28"/>
      <c r="M21" s="28"/>
      <c r="N21" s="28"/>
      <c r="O21" s="128"/>
      <c r="P21" s="128"/>
      <c r="Q21" s="128"/>
      <c r="R21" s="128"/>
      <c r="S21" s="133"/>
      <c r="T21" s="128"/>
      <c r="U21" s="128"/>
      <c r="V21" s="128"/>
      <c r="W21" s="128"/>
      <c r="X21" s="128"/>
      <c r="Y21" s="16"/>
      <c r="Z21" s="67"/>
      <c r="AA21" s="64"/>
      <c r="AB21" s="1"/>
      <c r="AC21" s="1"/>
      <c r="AD21" s="1116" t="s">
        <v>559</v>
      </c>
      <c r="AE21" s="1131" t="s">
        <v>426</v>
      </c>
      <c r="AF21" s="1121">
        <f>INDEX(DRAM_TGL!$P$9:$U$25,MATCH('TGL-UP3UP4 Power Map'!$C$8,DRAM_TGL!$A$9:$A$25,0),MATCH('TGL-UP3UP4 Power Map'!AD21,DRAM_TGL!$B$7:$G$7,0))</f>
        <v>1.8</v>
      </c>
      <c r="AG21" s="1014">
        <f>INDEX(DRAM_TGL!$B$9:$G$25,MATCH('TGL-UP3UP4 Power Map'!$C$8,DRAM_TGL!$A$9:$A$25,0),MATCH('TGL-UP3UP4 Power Map'!AD21,DRAM_TGL!$B$7:$G$7,0))</f>
        <v>0.23400000000000001</v>
      </c>
      <c r="AH21" s="1015"/>
      <c r="AI21" s="559"/>
      <c r="AJ21" s="1016"/>
      <c r="AK21" s="542"/>
      <c r="AL21" s="1160"/>
      <c r="AN21" s="117"/>
    </row>
    <row r="22" spans="1:43" ht="13.5" customHeight="1" thickBot="1" x14ac:dyDescent="0.35">
      <c r="A22" s="1"/>
      <c r="B22" s="1"/>
      <c r="C22" s="1"/>
      <c r="D22" s="1"/>
      <c r="E22" s="1"/>
      <c r="F22" s="9"/>
      <c r="G22" s="1"/>
      <c r="H22" s="9"/>
      <c r="I22" s="901" t="s">
        <v>31</v>
      </c>
      <c r="J22" s="20" t="s">
        <v>93</v>
      </c>
      <c r="K22" s="900" t="s">
        <v>19</v>
      </c>
      <c r="L22" s="51" t="s">
        <v>433</v>
      </c>
      <c r="M22" s="22" t="str">
        <f>AA22</f>
        <v/>
      </c>
      <c r="N22" s="510"/>
      <c r="O22" s="128"/>
      <c r="P22" s="128"/>
      <c r="Q22" s="128"/>
      <c r="R22" s="128"/>
      <c r="S22" s="133"/>
      <c r="T22" s="128"/>
      <c r="U22" s="128"/>
      <c r="V22" s="128"/>
      <c r="W22" s="128"/>
      <c r="X22" s="128"/>
      <c r="Y22" s="25" t="str">
        <f>AD24</f>
        <v>V2.5U (VDD1)</v>
      </c>
      <c r="Z22" s="34">
        <f>VLOOKUP(Y22,$AD$4:$AH$93,3,FALSE)</f>
        <v>2.5</v>
      </c>
      <c r="AA22" s="687" t="str">
        <f>IF(VLOOKUP(Y22,$AD$4:$AH$93,4,FALSE)="N/A", "",VLOOKUP(Y22,$AD$4:$AH$93,4,FALSE))</f>
        <v/>
      </c>
      <c r="AB22" s="1"/>
      <c r="AC22" s="1"/>
      <c r="AD22" s="1116" t="s">
        <v>30</v>
      </c>
      <c r="AE22" s="1131" t="s">
        <v>590</v>
      </c>
      <c r="AF22" s="1121" t="str">
        <f>INDEX(DRAM_TGL!$P$9:$U$25,MATCH('TGL-UP3UP4 Power Map'!$C$8,DRAM_TGL!$A$9:$A$25,0),MATCH('TGL-UP3UP4 Power Map'!AD22,DRAM_TGL!$B$7:$G$7,0))</f>
        <v>N/A</v>
      </c>
      <c r="AG22" s="1014" t="str">
        <f>INDEX(DRAM_TGL!$B$9:$G$25,MATCH('TGL-UP3UP4 Power Map'!$C$8,DRAM_TGL!$A$9:$A$25,0),MATCH('TGL-UP3UP4 Power Map'!AD22,DRAM_TGL!$B$7:$G$7,0))</f>
        <v>N/A</v>
      </c>
      <c r="AH22" s="1015"/>
      <c r="AI22" s="559"/>
      <c r="AJ22" s="1016"/>
      <c r="AK22" s="542"/>
      <c r="AL22" s="1160"/>
      <c r="AN22" s="117"/>
    </row>
    <row r="23" spans="1:43" ht="13.5" customHeight="1" thickBot="1" x14ac:dyDescent="0.35">
      <c r="A23" s="1"/>
      <c r="B23" s="1"/>
      <c r="C23" s="1"/>
      <c r="D23" s="1"/>
      <c r="E23" s="1"/>
      <c r="F23" s="9"/>
      <c r="G23" s="1"/>
      <c r="H23" s="9"/>
      <c r="I23" s="16"/>
      <c r="J23" s="17"/>
      <c r="K23" s="16"/>
      <c r="L23" s="66"/>
      <c r="M23" s="28"/>
      <c r="N23" s="28"/>
      <c r="O23" s="128"/>
      <c r="P23" s="128"/>
      <c r="Q23" s="128"/>
      <c r="R23" s="128"/>
      <c r="S23" s="133"/>
      <c r="T23" s="128"/>
      <c r="U23" s="128"/>
      <c r="V23" s="128"/>
      <c r="W23" s="128"/>
      <c r="X23" s="128"/>
      <c r="Y23" s="16"/>
      <c r="Z23" s="67"/>
      <c r="AA23" s="742"/>
      <c r="AB23" s="1"/>
      <c r="AC23" s="1"/>
      <c r="AD23" s="1132"/>
      <c r="AE23" s="1133"/>
      <c r="AF23" s="1133"/>
      <c r="AG23" s="1133"/>
      <c r="AH23" s="1134"/>
      <c r="AI23" s="1135"/>
      <c r="AJ23" s="1136"/>
      <c r="AK23" s="650"/>
      <c r="AL23" s="1160"/>
      <c r="AN23" s="117"/>
    </row>
    <row r="24" spans="1:43" ht="13.5" customHeight="1" thickBot="1" x14ac:dyDescent="0.35">
      <c r="A24" s="1"/>
      <c r="B24" s="1"/>
      <c r="C24" s="1"/>
      <c r="D24" s="1"/>
      <c r="E24" s="1"/>
      <c r="F24" s="9"/>
      <c r="G24" s="1"/>
      <c r="H24" s="9"/>
      <c r="I24" s="129" t="s">
        <v>29</v>
      </c>
      <c r="J24" s="68" t="s">
        <v>98</v>
      </c>
      <c r="K24" s="21" t="s">
        <v>19</v>
      </c>
      <c r="L24" s="51">
        <f>Z24</f>
        <v>1.8</v>
      </c>
      <c r="M24" s="22">
        <f>SUM(AA24:AA35)</f>
        <v>2.5135999999999998</v>
      </c>
      <c r="N24" s="1154"/>
      <c r="O24" s="128"/>
      <c r="P24" s="128"/>
      <c r="Q24" s="128"/>
      <c r="R24" s="128"/>
      <c r="S24" s="133"/>
      <c r="T24" s="128"/>
      <c r="U24" s="128"/>
      <c r="V24" s="128"/>
      <c r="W24" s="128"/>
      <c r="X24" s="128"/>
      <c r="Y24" s="75" t="str">
        <f>AD30</f>
        <v>VCCPRIM_1P8</v>
      </c>
      <c r="Z24" s="39">
        <f t="shared" ref="Z24:Z35" si="0">VLOOKUP(Y24,$AD$4:$AH$93,3,FALSE)</f>
        <v>1.8</v>
      </c>
      <c r="AA24" s="937">
        <f t="shared" ref="AA24:AA33" si="1">VLOOKUP(Y24,$AD$4:$AH$77,4,FALSE)</f>
        <v>1.3</v>
      </c>
      <c r="AB24" s="1"/>
      <c r="AC24" s="1"/>
      <c r="AD24" s="1040" t="s">
        <v>560</v>
      </c>
      <c r="AE24" s="1137" t="s">
        <v>589</v>
      </c>
      <c r="AF24" s="1138">
        <v>2.5</v>
      </c>
      <c r="AG24" s="1139" t="str">
        <f>INDEX(DRAM_TGL!$B$9:$G$25,MATCH('TGL-UP3UP4 Power Map'!$C$8,DRAM_TGL!$A$9:$A$25,0),MATCH('TGL-UP3UP4 Power Map'!AD24,DRAM_TGL!$B$7:$G$7,0))</f>
        <v>N/A</v>
      </c>
      <c r="AH24" s="1044"/>
      <c r="AI24" s="1140"/>
      <c r="AJ24" s="1141"/>
      <c r="AK24" s="651"/>
      <c r="AL24" s="1161"/>
      <c r="AN24" s="117"/>
    </row>
    <row r="25" spans="1:43" ht="13.5" customHeight="1" thickBot="1" x14ac:dyDescent="0.35">
      <c r="A25" s="1"/>
      <c r="B25" s="1"/>
      <c r="C25" s="1"/>
      <c r="D25" s="1"/>
      <c r="E25" s="1"/>
      <c r="F25" s="9"/>
      <c r="G25" s="1"/>
      <c r="H25" s="9"/>
      <c r="I25" s="69"/>
      <c r="J25" s="70"/>
      <c r="K25" s="70"/>
      <c r="L25" s="70"/>
      <c r="M25" s="71"/>
      <c r="N25" s="71"/>
      <c r="O25" s="128"/>
      <c r="P25" s="128"/>
      <c r="Q25" s="128"/>
      <c r="R25" s="128"/>
      <c r="S25" s="133"/>
      <c r="T25" s="128"/>
      <c r="U25" s="128"/>
      <c r="V25" s="128"/>
      <c r="W25" s="128"/>
      <c r="X25" s="128"/>
      <c r="Y25" s="602" t="str">
        <f>AD73</f>
        <v>V1.8A_FLASH</v>
      </c>
      <c r="Z25" s="603">
        <f t="shared" si="0"/>
        <v>1.8</v>
      </c>
      <c r="AA25" s="938">
        <f t="shared" si="1"/>
        <v>0.2</v>
      </c>
      <c r="AB25" s="1"/>
      <c r="AC25" s="1"/>
      <c r="AD25" s="1142"/>
      <c r="AE25" s="56"/>
      <c r="AF25" s="540"/>
      <c r="AG25" s="1143"/>
      <c r="AH25" s="1144"/>
      <c r="AI25" s="1145"/>
      <c r="AJ25" s="1146"/>
      <c r="AK25" s="1147"/>
      <c r="AL25" s="1148"/>
      <c r="AN25" s="117"/>
      <c r="AQ25" s="79"/>
    </row>
    <row r="26" spans="1:43" ht="13.5" customHeight="1" thickBot="1" x14ac:dyDescent="0.35">
      <c r="A26" s="1"/>
      <c r="B26" s="1"/>
      <c r="C26" s="1"/>
      <c r="D26" s="1"/>
      <c r="E26" s="1"/>
      <c r="F26" s="9"/>
      <c r="G26" s="1"/>
      <c r="H26" s="9"/>
      <c r="I26" s="16"/>
      <c r="J26" s="73"/>
      <c r="K26" s="16"/>
      <c r="L26" s="66"/>
      <c r="M26" s="28"/>
      <c r="N26" s="28"/>
      <c r="O26" s="128"/>
      <c r="P26" s="74"/>
      <c r="Q26" s="128"/>
      <c r="R26" s="128"/>
      <c r="S26" s="133"/>
      <c r="T26" s="128"/>
      <c r="U26" s="128"/>
      <c r="V26" s="128"/>
      <c r="W26" s="128"/>
      <c r="X26" s="128"/>
      <c r="Y26" s="602" t="str">
        <f>AD67</f>
        <v>V1.8A_EC</v>
      </c>
      <c r="Z26" s="603">
        <f t="shared" si="0"/>
        <v>1.8</v>
      </c>
      <c r="AA26" s="1000">
        <f t="shared" si="1"/>
        <v>0.67600000000000005</v>
      </c>
      <c r="AB26" s="1"/>
      <c r="AC26" s="1"/>
      <c r="AD26" s="1001" t="s">
        <v>569</v>
      </c>
      <c r="AE26" s="1002" t="s">
        <v>408</v>
      </c>
      <c r="AF26" s="1003">
        <v>3.3</v>
      </c>
      <c r="AG26" s="1004">
        <f>IFERROR(HLOOKUP($C$5,'TGL Rails and Iccmax'!$AG$5:$AY$102, MATCH(IF(ISERROR(SEARCH("Dx_",$AD26)),$AD26,REPLACE($AD26,SEARCH("Dx_",$AD26),3,"S_")),Volume_Load_Names,0)+1, FALSE),"N/A")</f>
        <v>0.20200000000000001</v>
      </c>
      <c r="AH26" s="1005"/>
      <c r="AI26" s="1006"/>
      <c r="AJ26" s="1007"/>
      <c r="AK26" s="543"/>
      <c r="AL26" s="1157" t="s">
        <v>35</v>
      </c>
      <c r="AN26" s="117"/>
    </row>
    <row r="27" spans="1:43" ht="13.5" customHeight="1" thickBot="1" x14ac:dyDescent="0.35">
      <c r="A27" s="1"/>
      <c r="B27" s="1"/>
      <c r="C27" s="1"/>
      <c r="D27" s="1"/>
      <c r="E27" s="1"/>
      <c r="F27" s="9"/>
      <c r="G27" s="1"/>
      <c r="H27" s="9"/>
      <c r="I27" s="16"/>
      <c r="J27" s="73"/>
      <c r="K27" s="16"/>
      <c r="L27" s="66"/>
      <c r="M27" s="28"/>
      <c r="N27" s="28"/>
      <c r="O27" s="128"/>
      <c r="P27" s="74"/>
      <c r="Q27" s="25"/>
      <c r="R27" s="1008"/>
      <c r="S27" s="1009"/>
      <c r="T27" s="930">
        <v>1.1000000000000001</v>
      </c>
      <c r="U27" s="931">
        <f>AA27</f>
        <v>0</v>
      </c>
      <c r="V27" s="932">
        <v>0</v>
      </c>
      <c r="W27" s="933"/>
      <c r="X27" s="128"/>
      <c r="Y27" s="128"/>
      <c r="Z27" s="128"/>
      <c r="AA27" s="128"/>
      <c r="AB27" s="1"/>
      <c r="AC27" s="1"/>
      <c r="AD27" s="46"/>
      <c r="AE27" s="86"/>
      <c r="AF27" s="544"/>
      <c r="AG27" s="544"/>
      <c r="AH27" s="531"/>
      <c r="AI27" s="532"/>
      <c r="AJ27" s="533"/>
      <c r="AK27" s="545"/>
      <c r="AL27" s="1158"/>
      <c r="AN27" s="117"/>
    </row>
    <row r="28" spans="1:43" ht="13.5" customHeight="1" x14ac:dyDescent="0.3">
      <c r="A28" s="1"/>
      <c r="B28" s="1"/>
      <c r="C28" s="1"/>
      <c r="D28" s="1"/>
      <c r="E28" s="1"/>
      <c r="F28" s="9"/>
      <c r="G28" s="1"/>
      <c r="H28" s="9"/>
      <c r="I28" s="16"/>
      <c r="J28" s="73"/>
      <c r="K28" s="1010"/>
      <c r="L28" s="66"/>
      <c r="M28" s="28"/>
      <c r="N28" s="28"/>
      <c r="O28" s="128"/>
      <c r="P28" s="128"/>
      <c r="Q28" s="128"/>
      <c r="R28" s="128"/>
      <c r="S28" s="133"/>
      <c r="T28" s="128"/>
      <c r="U28" s="128"/>
      <c r="V28" s="128"/>
      <c r="W28" s="128"/>
      <c r="X28" s="128"/>
      <c r="Y28" s="128"/>
      <c r="Z28" s="128"/>
      <c r="AA28" s="128"/>
      <c r="AB28" s="1"/>
      <c r="AC28" s="1"/>
      <c r="AD28" s="1011" t="s">
        <v>567</v>
      </c>
      <c r="AE28" s="1012" t="s">
        <v>409</v>
      </c>
      <c r="AF28" s="1013">
        <v>3.3</v>
      </c>
      <c r="AG28" s="1014">
        <f>IFERROR(HLOOKUP($C$5,'TGL Rails and Iccmax'!$AG$5:$AY$102, MATCH(IF(ISERROR(SEARCH("Dx_",$AD28)),$AD28,REPLACE($AD28,SEARCH("Dx_",$AD28),3,"S_")),Volume_Load_Names,0)+1, FALSE),"N/A")</f>
        <v>3.0000000000000001E-3</v>
      </c>
      <c r="AH28" s="1015"/>
      <c r="AI28" s="559"/>
      <c r="AJ28" s="1016"/>
      <c r="AK28" s="546"/>
      <c r="AL28" s="1158"/>
      <c r="AN28" s="117"/>
    </row>
    <row r="29" spans="1:43" ht="13.5" customHeight="1" x14ac:dyDescent="0.3">
      <c r="A29" s="1"/>
      <c r="B29" s="1"/>
      <c r="C29" s="1"/>
      <c r="D29" s="1"/>
      <c r="E29" s="1"/>
      <c r="F29" s="9"/>
      <c r="G29" s="1"/>
      <c r="H29" s="9"/>
      <c r="I29" s="16"/>
      <c r="J29" s="73"/>
      <c r="K29" s="16"/>
      <c r="L29" s="66"/>
      <c r="M29" s="28"/>
      <c r="N29" s="28"/>
      <c r="O29" s="128"/>
      <c r="P29" s="128"/>
      <c r="Q29" s="1017" t="s">
        <v>32</v>
      </c>
      <c r="R29" s="1018" t="str">
        <f>HLOOKUP(Segment_Tier,Power_Gates_Enable,MATCH(IF(ISERROR(SEARCH("Dx_",$Y29)),$Y29,REPLACE($Y29,SEARCH("Dx_",$Y29),3,"S_")),Volume_Load_Names,0)+1,FALSE)</f>
        <v>SLP_S3#</v>
      </c>
      <c r="S29" s="715" t="str">
        <f>I$24</f>
        <v>V1.8A</v>
      </c>
      <c r="T29" s="717">
        <f>Z$24</f>
        <v>1.8</v>
      </c>
      <c r="U29" s="718">
        <f>SUM(AA29:AA33)</f>
        <v>9.7600000000000006E-2</v>
      </c>
      <c r="V29" s="719" t="e">
        <f>SUM(#REF!)</f>
        <v>#REF!</v>
      </c>
      <c r="W29" s="720"/>
      <c r="X29" s="128"/>
      <c r="Y29" s="55" t="str">
        <f>AD75</f>
        <v>V1.8S</v>
      </c>
      <c r="Z29" s="44">
        <f t="shared" si="0"/>
        <v>1.8</v>
      </c>
      <c r="AA29" s="1000">
        <f t="shared" si="1"/>
        <v>6.3E-3</v>
      </c>
      <c r="AB29" s="1"/>
      <c r="AC29" s="1"/>
      <c r="AD29" s="547"/>
      <c r="AE29" s="548"/>
      <c r="AF29" s="549"/>
      <c r="AG29" s="550"/>
      <c r="AH29" s="551"/>
      <c r="AI29" s="552"/>
      <c r="AJ29" s="553"/>
      <c r="AK29" s="534"/>
      <c r="AL29" s="1158"/>
      <c r="AN29" s="117"/>
    </row>
    <row r="30" spans="1:43" ht="13.5" customHeight="1" thickBot="1" x14ac:dyDescent="0.3">
      <c r="A30" s="1"/>
      <c r="B30" s="1171" t="s">
        <v>38</v>
      </c>
      <c r="C30" s="1171"/>
      <c r="D30" s="1171"/>
      <c r="E30" s="1171"/>
      <c r="F30" s="995"/>
      <c r="G30" s="1"/>
      <c r="H30" s="9"/>
      <c r="I30" s="1"/>
      <c r="J30" s="77"/>
      <c r="K30" s="1"/>
      <c r="L30" s="1"/>
      <c r="M30" s="78"/>
      <c r="N30" s="78"/>
      <c r="O30" s="1"/>
      <c r="P30" s="16"/>
      <c r="Q30" s="1017" t="s">
        <v>442</v>
      </c>
      <c r="R30" s="1018" t="str">
        <f>HLOOKUP(Segment_Tier,Power_Gates_Enable,MATCH(IF(ISERROR(SEARCH("Dx_",$Y30)),$Y30,REPLACE($Y30,SEARCH("Dx_",$Y30),3,"S_")),Volume_Load_Names,0)+1,FALSE)</f>
        <v>SLP_S0# &amp;&amp; SLP_S3#</v>
      </c>
      <c r="S30" s="715" t="str">
        <f>I$24</f>
        <v>V1.8A</v>
      </c>
      <c r="T30" s="717">
        <f>Z$24</f>
        <v>1.8</v>
      </c>
      <c r="U30" s="718">
        <f>SUM(AA30:AA33)</f>
        <v>9.1300000000000006E-2</v>
      </c>
      <c r="V30" s="719" t="e">
        <f>SUM(#REF!)</f>
        <v>#REF!</v>
      </c>
      <c r="W30" s="720"/>
      <c r="X30" s="76"/>
      <c r="Y30" s="85" t="str">
        <f>AD51</f>
        <v>V1.8S_SSD</v>
      </c>
      <c r="Z30" s="44">
        <f t="shared" si="0"/>
        <v>1.8</v>
      </c>
      <c r="AA30" s="1000">
        <f t="shared" si="1"/>
        <v>7.0000000000000007E-2</v>
      </c>
      <c r="AB30" s="1"/>
      <c r="AC30" s="1"/>
      <c r="AD30" s="1019" t="s">
        <v>568</v>
      </c>
      <c r="AE30" s="1020" t="s">
        <v>410</v>
      </c>
      <c r="AF30" s="1021">
        <v>1.8</v>
      </c>
      <c r="AG30" s="1014">
        <f>IFERROR(HLOOKUP($C$5,'TGL Rails and Iccmax'!$AG$5:$AY$102, MATCH(IF(ISERROR(SEARCH("Dx_",$AD30)),$AD30,REPLACE($AD30,SEARCH("Dx_",$AD30),3,"S_")),Volume_Load_Names,0)+1, FALSE),"N/A")</f>
        <v>1.3</v>
      </c>
      <c r="AH30" s="1015"/>
      <c r="AI30" s="559"/>
      <c r="AJ30" s="1016"/>
      <c r="AK30" s="554"/>
      <c r="AL30" s="1158"/>
      <c r="AN30" s="117"/>
    </row>
    <row r="31" spans="1:43" ht="13.5" customHeight="1" thickBot="1" x14ac:dyDescent="0.3">
      <c r="A31" s="1"/>
      <c r="B31" s="1171"/>
      <c r="C31" s="1171"/>
      <c r="D31" s="1171"/>
      <c r="E31" s="1171"/>
      <c r="F31" s="995"/>
      <c r="G31" s="1"/>
      <c r="H31" s="10" t="s">
        <v>36</v>
      </c>
      <c r="I31" s="40"/>
      <c r="J31" s="41"/>
      <c r="K31" s="40"/>
      <c r="L31" s="80"/>
      <c r="M31" s="43"/>
      <c r="N31" s="43"/>
      <c r="O31" s="1"/>
      <c r="P31" s="16"/>
      <c r="Q31" s="16"/>
      <c r="R31" s="18"/>
      <c r="S31" s="103"/>
      <c r="T31" s="66"/>
      <c r="U31" s="28"/>
      <c r="V31" s="58"/>
      <c r="W31" s="81"/>
      <c r="X31" s="76"/>
      <c r="Y31" s="85" t="str">
        <f>AD54</f>
        <v>V1.8S_SDCARD</v>
      </c>
      <c r="Z31" s="44">
        <f t="shared" si="0"/>
        <v>1.8</v>
      </c>
      <c r="AA31" s="1000">
        <f t="shared" si="1"/>
        <v>5.9999999999999995E-4</v>
      </c>
      <c r="AB31" s="1"/>
      <c r="AC31" s="1"/>
      <c r="AD31" s="1022"/>
      <c r="AE31" s="79"/>
      <c r="AF31" s="1023"/>
      <c r="AG31" s="1024"/>
      <c r="AH31" s="1025"/>
      <c r="AI31" s="1026"/>
      <c r="AJ31" s="1027"/>
      <c r="AK31" s="555"/>
      <c r="AL31" s="1158"/>
    </row>
    <row r="32" spans="1:43" ht="13.2" customHeight="1" x14ac:dyDescent="0.25">
      <c r="A32" s="1"/>
      <c r="B32" s="1171"/>
      <c r="C32" s="1171"/>
      <c r="D32" s="1171"/>
      <c r="E32" s="1171"/>
      <c r="F32" s="995"/>
      <c r="G32" s="1"/>
      <c r="H32" s="18"/>
      <c r="I32" s="16"/>
      <c r="J32" s="82"/>
      <c r="K32" s="16"/>
      <c r="L32" s="83"/>
      <c r="M32" s="84"/>
      <c r="N32" s="84"/>
      <c r="P32" s="79"/>
      <c r="Q32" s="1028" t="str">
        <f>Y32</f>
        <v>V1.8Dx_WIFI</v>
      </c>
      <c r="R32" s="1018">
        <f>IF(AND($F$11,$F$10),"GPIO_"&amp;RIGHT($Y32,LEN($Y32)-FIND("_",$Y32)),HLOOKUP(Segment_Tier,Power_Gates_Enable,MATCH(IF(ISERROR(SEARCH("Dx_",$Y32)),$Y32,REPLACE($Y32,SEARCH("Dx_",$Y32),3,"S_")),Volume_Load_Names,0)+1,FALSE))</f>
        <v>0</v>
      </c>
      <c r="S32" s="715" t="str">
        <f>IF(AND(F10,F11),I$24,"")</f>
        <v/>
      </c>
      <c r="T32" s="707">
        <f>Z$24</f>
        <v>1.8</v>
      </c>
      <c r="U32" s="708">
        <f>AA32</f>
        <v>0</v>
      </c>
      <c r="V32" s="709" t="e">
        <f>#REF!</f>
        <v>#REF!</v>
      </c>
      <c r="W32" s="704"/>
      <c r="Y32" s="732" t="s">
        <v>445</v>
      </c>
      <c r="Z32" s="743">
        <f t="shared" si="0"/>
        <v>1.8</v>
      </c>
      <c r="AA32" s="1029">
        <f t="shared" si="1"/>
        <v>0</v>
      </c>
      <c r="AB32" s="1"/>
      <c r="AC32" s="72"/>
      <c r="AD32" s="1030"/>
      <c r="AE32" s="1031"/>
      <c r="AF32" s="1032"/>
      <c r="AG32" s="1014"/>
      <c r="AH32" s="1033"/>
      <c r="AI32" s="1034"/>
      <c r="AJ32" s="1035"/>
      <c r="AK32" s="546"/>
      <c r="AL32" s="1158"/>
    </row>
    <row r="33" spans="1:43" ht="13.2" customHeight="1" thickBot="1" x14ac:dyDescent="0.3">
      <c r="A33" s="1"/>
      <c r="B33" s="1171"/>
      <c r="C33" s="1171"/>
      <c r="D33" s="1171"/>
      <c r="E33" s="1171"/>
      <c r="F33" s="995"/>
      <c r="G33" s="1"/>
      <c r="H33" s="18"/>
      <c r="I33" s="16"/>
      <c r="J33" s="17"/>
      <c r="K33" s="16"/>
      <c r="L33" s="16"/>
      <c r="M33" s="74"/>
      <c r="N33" s="74"/>
      <c r="O33" s="1"/>
      <c r="P33" s="16"/>
      <c r="Q33" s="1028" t="str">
        <f>Y33</f>
        <v>V1.8S_AUDIO</v>
      </c>
      <c r="R33" s="1018" t="str">
        <f>IF(AND($F$11=1,$F$10=0),"GPIO_"&amp;RIGHT($Y33,LEN($Y33)-FIND("_",$Y33)),HLOOKUP(Segment_Tier,Power_Gates_Enable,MATCH(IF(ISERROR(SEARCH("Dx_",$Y33)),$Y33,REPLACE($Y33,SEARCH("Dx_",$Y33),3,"S_")),Volume_Load_Names,0)+1,FALSE))</f>
        <v>GPIO_AUDIO</v>
      </c>
      <c r="S33" s="715" t="str">
        <f>IF(AND($F$10=0,$F$11=1),I$24,"")</f>
        <v>V1.8A</v>
      </c>
      <c r="T33" s="707">
        <f>Z$24</f>
        <v>1.8</v>
      </c>
      <c r="U33" s="708">
        <f>AA33</f>
        <v>2.07E-2</v>
      </c>
      <c r="V33" s="709" t="e">
        <f>#REF!</f>
        <v>#REF!</v>
      </c>
      <c r="W33" s="704"/>
      <c r="X33" s="76"/>
      <c r="Y33" s="732" t="s">
        <v>85</v>
      </c>
      <c r="Z33" s="743">
        <f t="shared" si="0"/>
        <v>1.8</v>
      </c>
      <c r="AA33" s="1029">
        <f t="shared" si="1"/>
        <v>2.07E-2</v>
      </c>
      <c r="AB33" s="1"/>
      <c r="AC33" s="72"/>
      <c r="AD33" s="547"/>
      <c r="AE33" s="548"/>
      <c r="AF33" s="549"/>
      <c r="AG33" s="550"/>
      <c r="AH33" s="551"/>
      <c r="AI33" s="552"/>
      <c r="AJ33" s="553"/>
      <c r="AK33" s="534"/>
      <c r="AL33" s="1158"/>
    </row>
    <row r="34" spans="1:43" ht="13.2" customHeight="1" thickBot="1" x14ac:dyDescent="0.3">
      <c r="A34" s="1"/>
      <c r="B34" s="995"/>
      <c r="C34" s="995"/>
      <c r="D34" s="995"/>
      <c r="E34" s="995"/>
      <c r="F34" s="995"/>
      <c r="G34" s="1"/>
      <c r="H34" s="10" t="s">
        <v>39</v>
      </c>
      <c r="I34" s="16"/>
      <c r="J34" s="17"/>
      <c r="K34" s="16"/>
      <c r="L34" s="16"/>
      <c r="M34" s="74"/>
      <c r="N34" s="74"/>
      <c r="O34" s="1"/>
      <c r="P34" s="16"/>
      <c r="Q34" s="1028" t="str">
        <f>Y34</f>
        <v>V1.8S_SENSORS</v>
      </c>
      <c r="R34" s="1018" t="str">
        <f>IF($F$10,"GPIO_"&amp;RIGHT($Y34,LEN($Y34)-FIND("_",$Y34)),HLOOKUP(Segment_Tier,Power_Gates_Enable,MATCH(IF(ISERROR(SEARCH("Dx_",$Y34)),$Y34,REPLACE($Y34,SEARCH("Dx_",$Y34),3,"S_")),Volume_Load_Names,0)+1,FALSE))</f>
        <v>SLP_S3#</v>
      </c>
      <c r="S34" s="715" t="str">
        <f>IF($F$10=1,I$24,"")</f>
        <v/>
      </c>
      <c r="T34" s="707">
        <f>Z$24</f>
        <v>1.8</v>
      </c>
      <c r="U34" s="708">
        <f>AA34</f>
        <v>6.0000000000000001E-3</v>
      </c>
      <c r="V34" s="709" t="e">
        <f>#REF!</f>
        <v>#REF!</v>
      </c>
      <c r="W34" s="704"/>
      <c r="X34" s="76"/>
      <c r="Y34" s="733" t="s">
        <v>68</v>
      </c>
      <c r="Z34" s="745">
        <f t="shared" si="0"/>
        <v>1.8</v>
      </c>
      <c r="AA34" s="1036">
        <f>VLOOKUP(Y34,$AD$4:$AH$93,4,FALSE)</f>
        <v>6.0000000000000001E-3</v>
      </c>
      <c r="AB34" s="1"/>
      <c r="AC34" s="684"/>
      <c r="AD34" s="1019" t="s">
        <v>437</v>
      </c>
      <c r="AE34" s="1020" t="s">
        <v>411</v>
      </c>
      <c r="AF34" s="1021">
        <f>IF($F$9=1,1.05,"N/A")</f>
        <v>1.05</v>
      </c>
      <c r="AG34" s="1014">
        <f>IF($F$9=1,IFERROR(HLOOKUP($C$5,'TGL Rails and Iccmax'!$AG$5:$AY$102, MATCH(IF(ISERROR(SEARCH("Dx_",$AD34)),$AD34,REPLACE($AD34,SEARCH("Dx_",$AD34),3,"S_")),Volume_Load_Names,0)+1, FALSE),"N/A"),"N/A")</f>
        <v>0.2</v>
      </c>
      <c r="AH34" s="1015"/>
      <c r="AI34" s="559"/>
      <c r="AJ34" s="1016"/>
      <c r="AK34" s="554"/>
      <c r="AL34" s="1158"/>
    </row>
    <row r="35" spans="1:43" ht="13.5" customHeight="1" thickBot="1" x14ac:dyDescent="0.3">
      <c r="A35" s="1"/>
      <c r="B35" s="1187" t="s">
        <v>542</v>
      </c>
      <c r="C35" s="1187"/>
      <c r="D35" s="1187"/>
      <c r="E35" s="1187"/>
      <c r="F35" s="90"/>
      <c r="G35" s="1"/>
      <c r="H35" s="1" t="s">
        <v>40</v>
      </c>
      <c r="I35" s="16"/>
      <c r="J35" s="17"/>
      <c r="K35" s="16"/>
      <c r="L35" s="16"/>
      <c r="M35" s="74"/>
      <c r="N35" s="74"/>
      <c r="O35" s="1"/>
      <c r="P35" s="59"/>
      <c r="Q35" s="1028" t="str">
        <f>Y35</f>
        <v>V1.8U (VDD1)</v>
      </c>
      <c r="R35" s="1018" t="str">
        <f>HLOOKUP(Segment_Tier,Power_Gates_Enable,MATCH(IF(ISERROR(SEARCH("Dx_",$Y35)),$Y35,REPLACE($Y35,SEARCH("Dx_",$Y35),3,"S_")),Volume_Load_Names,0)+1,FALSE)</f>
        <v>SLP_S4#</v>
      </c>
      <c r="S35" s="715" t="str">
        <f>I$24</f>
        <v>V1.8A</v>
      </c>
      <c r="T35" s="707">
        <f>Z$24</f>
        <v>1.8</v>
      </c>
      <c r="U35" s="708">
        <f>AA35</f>
        <v>0.23400000000000001</v>
      </c>
      <c r="V35" s="709" t="e">
        <f>#REF!</f>
        <v>#REF!</v>
      </c>
      <c r="W35" s="704"/>
      <c r="X35" s="76"/>
      <c r="Y35" s="660" t="str">
        <f>AD21</f>
        <v>V1.8U (VDD1)</v>
      </c>
      <c r="Z35" s="34">
        <f t="shared" si="0"/>
        <v>1.8</v>
      </c>
      <c r="AA35" s="1037">
        <f>IF(VLOOKUP(Y35,$AD$4:$AH$93,4,FALSE)="N/A", "",VLOOKUP(Y35,$AD$4:$AH$93,4,FALSE))</f>
        <v>0.23400000000000001</v>
      </c>
      <c r="AB35" s="1"/>
      <c r="AC35" s="1"/>
      <c r="AD35" s="1022"/>
      <c r="AE35" s="79"/>
      <c r="AF35" s="1023"/>
      <c r="AG35" s="1024"/>
      <c r="AH35" s="1025"/>
      <c r="AI35" s="1026"/>
      <c r="AJ35" s="1027"/>
      <c r="AK35" s="555"/>
      <c r="AL35" s="1158"/>
    </row>
    <row r="36" spans="1:43" ht="13.5" customHeight="1" thickBot="1" x14ac:dyDescent="0.35">
      <c r="A36" s="1"/>
      <c r="B36" s="1187"/>
      <c r="C36" s="1187"/>
      <c r="D36" s="1187"/>
      <c r="E36" s="1187"/>
      <c r="F36" s="90"/>
      <c r="G36" s="1"/>
      <c r="H36" s="65" t="s">
        <v>41</v>
      </c>
      <c r="I36" s="16"/>
      <c r="J36" s="17"/>
      <c r="K36" s="16"/>
      <c r="L36" s="993"/>
      <c r="M36" s="74"/>
      <c r="N36" s="74"/>
      <c r="O36" s="128"/>
      <c r="P36" s="128"/>
      <c r="Q36" s="128"/>
      <c r="R36" s="128"/>
      <c r="S36" s="133"/>
      <c r="T36" s="128"/>
      <c r="U36" s="128"/>
      <c r="V36" s="128"/>
      <c r="W36" s="128"/>
      <c r="X36" s="128"/>
      <c r="Y36" s="33"/>
      <c r="Z36" s="67"/>
      <c r="AA36" s="64"/>
      <c r="AB36" s="1"/>
      <c r="AC36" s="1"/>
      <c r="AD36" s="1030" t="s">
        <v>438</v>
      </c>
      <c r="AE36" s="1031" t="s">
        <v>412</v>
      </c>
      <c r="AF36" s="1032">
        <f>IF($F$9=1,IF(ConnectedStandby=TRUE,0.76,1.05),"N/A")</f>
        <v>0.76</v>
      </c>
      <c r="AG36" s="1014">
        <f>IF($F$9=1,IFERROR(HLOOKUP($C$5,'TGL Rails and Iccmax'!$AG$5:$AY$102, MATCH(IF(ISERROR(SEARCH("Dx_",$AD36)),$AD36,REPLACE($AD36,SEARCH("Dx_",$AD36),3,"S_")),Volume_Load_Names,0)+1, FALSE),"N/A"),"N/A")</f>
        <v>0.2</v>
      </c>
      <c r="AH36" s="1033"/>
      <c r="AI36" s="1034"/>
      <c r="AJ36" s="1035"/>
      <c r="AK36" s="546"/>
      <c r="AL36" s="1158"/>
    </row>
    <row r="37" spans="1:43" ht="13.5" customHeight="1" thickBot="1" x14ac:dyDescent="0.35">
      <c r="A37" s="1"/>
      <c r="B37" s="918" t="s">
        <v>543</v>
      </c>
      <c r="C37" s="922">
        <f>HLOOKUP($C$5,'TGL PL POR'!$C$5:$W$15,4,FALSE)</f>
        <v>9</v>
      </c>
      <c r="D37" s="1181" t="s">
        <v>547</v>
      </c>
      <c r="E37" s="1182"/>
      <c r="F37" s="9"/>
      <c r="G37" s="1"/>
      <c r="H37" s="9"/>
      <c r="I37" s="1149" t="s">
        <v>44</v>
      </c>
      <c r="J37" s="1038" t="str">
        <f>IF($F$7=1,"SLP_SUS#","SLP_SUS#")</f>
        <v>SLP_SUS#</v>
      </c>
      <c r="K37" s="690" t="str">
        <f>IF($F$9=1,"VDC","")</f>
        <v>VDC</v>
      </c>
      <c r="L37" s="126">
        <v>1.05</v>
      </c>
      <c r="M37" s="127">
        <f>AA37</f>
        <v>0.2</v>
      </c>
      <c r="N37" s="899" t="str">
        <f>IF($F$9=1,"","(NC) X")</f>
        <v/>
      </c>
      <c r="O37" s="128"/>
      <c r="P37" s="128"/>
      <c r="Q37" s="128"/>
      <c r="R37" s="128"/>
      <c r="S37" s="133"/>
      <c r="T37" s="128"/>
      <c r="U37" s="128"/>
      <c r="V37" s="128"/>
      <c r="W37" s="128"/>
      <c r="X37" s="128"/>
      <c r="Y37" s="25" t="str">
        <f>AD34</f>
        <v>VCC_V1P05EXT_1P05</v>
      </c>
      <c r="Z37" s="34">
        <f>VLOOKUP(Y37,$AD$4:$AH$93,3,FALSE)</f>
        <v>1.05</v>
      </c>
      <c r="AA37" s="1039">
        <f>VLOOKUP(Y37,$AD$4:$AH$93,4,FALSE)</f>
        <v>0.2</v>
      </c>
      <c r="AB37" s="1"/>
      <c r="AC37" s="1"/>
      <c r="AD37" s="522"/>
      <c r="AE37" s="556"/>
      <c r="AF37" s="557"/>
      <c r="AG37" s="516"/>
      <c r="AH37" s="558"/>
      <c r="AI37" s="559"/>
      <c r="AJ37" s="560"/>
      <c r="AK37" s="546"/>
      <c r="AL37" s="1158"/>
    </row>
    <row r="38" spans="1:43" ht="13.5" customHeight="1" thickBot="1" x14ac:dyDescent="0.35">
      <c r="A38" s="1"/>
      <c r="B38" s="919" t="s">
        <v>545</v>
      </c>
      <c r="C38" s="715">
        <f>IF($C6="Performance",HLOOKUP($C$5,'TGL PL POR'!$C$5:$W$15,7,FALSE),HLOOKUP($C$5,'TGL PL POR'!$C$5:$W$15,6,FALSE))</f>
        <v>35</v>
      </c>
      <c r="D38" s="1183"/>
      <c r="E38" s="1184"/>
      <c r="F38" s="9"/>
      <c r="G38" s="1"/>
      <c r="H38" s="9"/>
      <c r="I38" s="691"/>
      <c r="J38" s="87"/>
      <c r="K38" s="16"/>
      <c r="L38" s="66"/>
      <c r="M38" s="32"/>
      <c r="N38" s="32"/>
      <c r="O38" s="128"/>
      <c r="P38" s="128"/>
      <c r="Q38" s="1180" t="str">
        <f>IF($F$9=1,"","connecting to GND is allowed, but not recommended due to extra leakage")</f>
        <v/>
      </c>
      <c r="R38" s="1180"/>
      <c r="S38" s="1180"/>
      <c r="T38" s="1180"/>
      <c r="U38" s="1180"/>
      <c r="V38" s="1180"/>
      <c r="W38" s="1180"/>
      <c r="X38" s="128"/>
      <c r="Y38" s="16"/>
      <c r="Z38" s="88"/>
      <c r="AA38" s="89"/>
      <c r="AB38" s="1"/>
      <c r="AC38" s="1"/>
      <c r="AD38" s="1040" t="s">
        <v>392</v>
      </c>
      <c r="AE38" s="1041" t="s">
        <v>353</v>
      </c>
      <c r="AF38" s="1042">
        <v>3</v>
      </c>
      <c r="AG38" s="1043">
        <f>IFERROR(HLOOKUP($C$5,'TGL Rails and Iccmax'!$AG$5:$AY$102, MATCH(IF(ISERROR(SEARCH("Dx_",$AD38)),$AD38,REPLACE($AD38,SEARCH("Dx_",$AD38),3,"S_")),Volume_Load_Names,0)+1, FALSE),"N/A")</f>
        <v>5.0000000000000001E-3</v>
      </c>
      <c r="AH38" s="1044"/>
      <c r="AI38" s="1045"/>
      <c r="AJ38" s="1046"/>
      <c r="AK38" s="561"/>
      <c r="AL38" s="1162"/>
    </row>
    <row r="39" spans="1:43" ht="13.5" customHeight="1" thickBot="1" x14ac:dyDescent="0.35">
      <c r="A39" s="1"/>
      <c r="B39" s="919" t="s">
        <v>544</v>
      </c>
      <c r="C39" s="715">
        <f>IF($C6="Performance",HLOOKUP($C$5,'TGL PL POR'!$C$5:$W$15,9,FALSE),HLOOKUP($C$5,'TGL PL POR'!$C$5:$W$15,8,FALSE))</f>
        <v>37</v>
      </c>
      <c r="D39" s="1183"/>
      <c r="E39" s="1184"/>
      <c r="F39" s="9"/>
      <c r="G39" s="1"/>
      <c r="H39" s="9"/>
      <c r="I39" s="1149" t="s">
        <v>43</v>
      </c>
      <c r="J39" s="1038" t="str">
        <f>IF($F$7=1,"SLP_SUS#","SLP_SUS#")</f>
        <v>SLP_SUS#</v>
      </c>
      <c r="K39" s="690" t="str">
        <f>IF($F$9=1,"VDC","")</f>
        <v>VDC</v>
      </c>
      <c r="L39" s="126">
        <f>IF(K40=TRUE,0.76,1.05)</f>
        <v>0.76</v>
      </c>
      <c r="M39" s="127">
        <f>AA39</f>
        <v>0.2</v>
      </c>
      <c r="N39" s="899" t="str">
        <f>IF($F$9=1,"","(NC) X")</f>
        <v/>
      </c>
      <c r="O39" s="128"/>
      <c r="P39" s="128"/>
      <c r="Q39" s="128"/>
      <c r="R39" s="128"/>
      <c r="S39" s="133"/>
      <c r="T39" s="128"/>
      <c r="U39" s="128"/>
      <c r="V39" s="128"/>
      <c r="W39" s="128"/>
      <c r="X39" s="128"/>
      <c r="Y39" s="25" t="str">
        <f>AD36</f>
        <v>VCC_VNNEXT_1P05</v>
      </c>
      <c r="Z39" s="34">
        <f>VLOOKUP(Y39,$AD$4:$AH$93,3,FALSE)</f>
        <v>0.76</v>
      </c>
      <c r="AA39" s="1039">
        <f>VLOOKUP(Y39,$AD$4:$AH$93,4,FALSE)</f>
        <v>0.2</v>
      </c>
      <c r="AB39" s="1"/>
      <c r="AC39" s="1"/>
      <c r="AJ39" s="2"/>
      <c r="AL39" s="934"/>
    </row>
    <row r="40" spans="1:43" ht="13.5" customHeight="1" thickBot="1" x14ac:dyDescent="0.35">
      <c r="A40" s="1"/>
      <c r="B40" s="920" t="s">
        <v>546</v>
      </c>
      <c r="C40" s="921">
        <f>IF($C6="Performance",HLOOKUP($C$5,'TGL PL POR'!$C$5:$W$15,11,FALSE),HLOOKUP($C$5,'TGL PL POR'!$C$5:$W$15,10,FALSE))</f>
        <v>66</v>
      </c>
      <c r="D40" s="1185"/>
      <c r="E40" s="1186"/>
      <c r="F40" s="9"/>
      <c r="G40" s="1"/>
      <c r="H40" s="9"/>
      <c r="I40" s="16"/>
      <c r="J40" s="1047" t="s">
        <v>434</v>
      </c>
      <c r="K40" s="692" t="b">
        <v>1</v>
      </c>
      <c r="L40" s="23"/>
      <c r="M40" s="28"/>
      <c r="N40" s="28"/>
      <c r="O40" s="128"/>
      <c r="P40" s="128"/>
      <c r="R40" s="128"/>
      <c r="S40" s="133"/>
      <c r="T40" s="128"/>
      <c r="U40" s="128"/>
      <c r="V40" s="128"/>
      <c r="W40" s="128"/>
      <c r="X40" s="128"/>
      <c r="Y40" s="16"/>
      <c r="Z40" s="67"/>
      <c r="AA40" s="64"/>
      <c r="AB40" s="1"/>
      <c r="AC40" s="1"/>
      <c r="AD40" s="1048" t="s">
        <v>393</v>
      </c>
      <c r="AE40" s="1049" t="s">
        <v>45</v>
      </c>
      <c r="AF40" s="1050" t="s">
        <v>19</v>
      </c>
      <c r="AG40" s="1051">
        <f>IFERROR(HLOOKUP($C$5,'TGL Rails and Iccmax'!$AG$5:$AY$102, MATCH($AD40,Volume_Load_Names,0)+1, FALSE),"N/A")</f>
        <v>0.55000000000000004</v>
      </c>
      <c r="AH40" s="1052"/>
      <c r="AI40" s="1053"/>
      <c r="AJ40" s="1054"/>
      <c r="AK40" s="1167" t="s">
        <v>394</v>
      </c>
      <c r="AL40" s="1157" t="s">
        <v>395</v>
      </c>
    </row>
    <row r="41" spans="1:43" ht="13.5" customHeight="1" thickBot="1" x14ac:dyDescent="0.3">
      <c r="A41" s="1"/>
      <c r="B41" s="1"/>
      <c r="C41" s="1"/>
      <c r="D41" s="1"/>
      <c r="E41" s="1"/>
      <c r="F41" s="9"/>
      <c r="G41" s="1"/>
      <c r="H41" s="9"/>
      <c r="O41" s="1"/>
      <c r="P41" s="16"/>
      <c r="AA41" s="49"/>
      <c r="AB41" s="1"/>
      <c r="AC41" s="1"/>
      <c r="AD41" s="1055" t="s">
        <v>46</v>
      </c>
      <c r="AE41" s="1056" t="s">
        <v>45</v>
      </c>
      <c r="AF41" s="1021">
        <v>3.3</v>
      </c>
      <c r="AG41" s="1014">
        <f>IFERROR(HLOOKUP($C$5,'TGL Rails and Iccmax'!$AG$5:$AY$102, MATCH(IF(ISERROR(SEARCH("Dx_",$AD41)),$AD41,REPLACE($AD41,SEARCH("Dx_",$AD41),3,"S_")),Volume_Load_Names,0)+1, FALSE),"N/A")</f>
        <v>0.4284</v>
      </c>
      <c r="AH41" s="1057"/>
      <c r="AI41" s="1058"/>
      <c r="AJ41" s="1059"/>
      <c r="AK41" s="1165"/>
      <c r="AL41" s="1158"/>
    </row>
    <row r="42" spans="1:43" ht="13.5" customHeight="1" thickBot="1" x14ac:dyDescent="0.3">
      <c r="A42" s="1"/>
      <c r="B42" s="1"/>
      <c r="C42" s="1"/>
      <c r="D42" s="1"/>
      <c r="E42" s="1"/>
      <c r="F42" s="9"/>
      <c r="G42" s="1"/>
      <c r="H42" s="9"/>
      <c r="I42" s="1152" t="s">
        <v>37</v>
      </c>
      <c r="J42" s="68" t="s">
        <v>19</v>
      </c>
      <c r="K42" s="994" t="s">
        <v>19</v>
      </c>
      <c r="L42" s="51">
        <v>3.3</v>
      </c>
      <c r="M42" s="22">
        <f>SUM(AA42:AA55)</f>
        <v>5.3259000000000007</v>
      </c>
      <c r="N42" s="1154"/>
      <c r="O42" s="1"/>
      <c r="P42" s="16"/>
      <c r="Q42" s="16"/>
      <c r="R42" s="18"/>
      <c r="S42" s="103"/>
      <c r="T42" s="23"/>
      <c r="U42" s="32"/>
      <c r="V42" s="19"/>
      <c r="W42" s="24"/>
      <c r="X42" s="1"/>
      <c r="Y42" s="91" t="str">
        <f>AD28</f>
        <v>VCCDSW_3P3</v>
      </c>
      <c r="Z42" s="39">
        <f>VLOOKUP(Y42,$AD$4:$AH$93,3,FALSE)</f>
        <v>3.3</v>
      </c>
      <c r="AA42" s="1060">
        <f t="shared" ref="AA42:AA55" si="2">VLOOKUP(Y42,$AD$4:$AH$93,4,FALSE)</f>
        <v>3.0000000000000001E-3</v>
      </c>
      <c r="AB42" s="1"/>
      <c r="AC42" s="1"/>
      <c r="AD42" s="563"/>
      <c r="AE42" s="47"/>
      <c r="AF42" s="540"/>
      <c r="AG42" s="541"/>
      <c r="AH42" s="551"/>
      <c r="AI42" s="552"/>
      <c r="AJ42" s="553"/>
      <c r="AK42" s="534"/>
      <c r="AL42" s="1158"/>
    </row>
    <row r="43" spans="1:43" ht="13.5" customHeight="1" thickBot="1" x14ac:dyDescent="0.3">
      <c r="A43" s="1"/>
      <c r="B43" s="1"/>
      <c r="C43" s="1"/>
      <c r="D43" s="1"/>
      <c r="E43" s="1"/>
      <c r="F43" s="9"/>
      <c r="G43" s="1"/>
      <c r="H43" s="9"/>
      <c r="I43" s="1"/>
      <c r="J43" s="92"/>
      <c r="K43" s="1"/>
      <c r="L43" s="1"/>
      <c r="M43" s="78"/>
      <c r="N43" s="78"/>
      <c r="O43" s="1"/>
      <c r="P43" s="16"/>
      <c r="Q43" s="1028" t="s">
        <v>34</v>
      </c>
      <c r="R43" s="1018" t="str">
        <f>HLOOKUP(Segment_Tier,Power_Gates_Enable,MATCH(IF(ISERROR(SEARCH("Dx_",$Y43)),$Y43,REPLACE($Y43,SEARCH("Dx_",$Y43),3,"S_")),Volume_Load_Names,0)+1,FALSE)</f>
        <v>SLP_SUS#</v>
      </c>
      <c r="S43" s="715" t="str">
        <f xml:space="preserve"> IF(F7 = 1,"V3.3_DSW","")</f>
        <v>V3.3_DSW</v>
      </c>
      <c r="T43" s="707">
        <v>0.39989999999999998</v>
      </c>
      <c r="U43" s="708">
        <v>0.20899999999999999</v>
      </c>
      <c r="V43" s="709">
        <v>0.2</v>
      </c>
      <c r="W43" s="704"/>
      <c r="X43" s="1"/>
      <c r="Y43" s="93" t="str">
        <f>AD26</f>
        <v>VCCPRIM_3P3</v>
      </c>
      <c r="Z43" s="44">
        <f>VLOOKUP(Y42,$AD$4:$AH$93,3,FALSE)</f>
        <v>3.3</v>
      </c>
      <c r="AA43" s="1060">
        <f t="shared" si="2"/>
        <v>0.20200000000000001</v>
      </c>
      <c r="AB43" s="1"/>
      <c r="AC43" s="1"/>
      <c r="AD43" s="1019" t="s">
        <v>47</v>
      </c>
      <c r="AE43" s="1056" t="s">
        <v>48</v>
      </c>
      <c r="AF43" s="1021">
        <v>3.3</v>
      </c>
      <c r="AG43" s="1014">
        <f>IFERROR(HLOOKUP($C$5,'TGL Rails and Iccmax'!$AG$5:$AY$102, MATCH(IF(ISERROR(SEARCH("Dx_",$AD43)),$AD43,REPLACE($AD43,SEARCH("Dx_",$AD43),3,"S_")),Volume_Load_Names,0)+1, FALSE),"N/A")</f>
        <v>0.18340000000000001</v>
      </c>
      <c r="AH43" s="1057"/>
      <c r="AI43" s="1058"/>
      <c r="AJ43" s="1059"/>
      <c r="AK43" s="534" t="s">
        <v>317</v>
      </c>
      <c r="AL43" s="1158"/>
    </row>
    <row r="44" spans="1:43" ht="13.5" customHeight="1" x14ac:dyDescent="0.25">
      <c r="A44" s="1"/>
      <c r="B44" s="1"/>
      <c r="C44" s="1"/>
      <c r="D44" s="1"/>
      <c r="E44" s="1"/>
      <c r="F44" s="9"/>
      <c r="G44" s="1"/>
      <c r="H44" s="9"/>
      <c r="I44" s="1"/>
      <c r="J44" s="92"/>
      <c r="K44" s="1"/>
      <c r="L44" s="1"/>
      <c r="M44" s="78"/>
      <c r="N44" s="78"/>
      <c r="O44" s="1"/>
      <c r="P44" s="59"/>
      <c r="Q44" s="1061" t="str">
        <f>Y44</f>
        <v>V3.3A_EC</v>
      </c>
      <c r="R44" s="1062" t="e">
        <f>INDEX(#REF!,MATCH(Y44,#REF!,0),MATCH(CONCATENATE($F$5,$C$9),#REF!,0))</f>
        <v>#REF!</v>
      </c>
      <c r="S44" s="710" t="str">
        <f xml:space="preserve"> IF(F9 = 1, "","")</f>
        <v/>
      </c>
      <c r="T44" s="711">
        <f>Z44</f>
        <v>3.3</v>
      </c>
      <c r="U44" s="712">
        <f>AA44</f>
        <v>1.35E-2</v>
      </c>
      <c r="V44" s="713" t="e">
        <f>#REF!</f>
        <v>#REF!</v>
      </c>
      <c r="W44" s="714"/>
      <c r="X44" s="76"/>
      <c r="Y44" s="93" t="str">
        <f>AD66</f>
        <v>V3.3A_EC</v>
      </c>
      <c r="Z44" s="44">
        <f>VLOOKUP(Y43,$AD$4:$AH$93,3,FALSE)</f>
        <v>3.3</v>
      </c>
      <c r="AA44" s="1060">
        <f t="shared" si="2"/>
        <v>1.35E-2</v>
      </c>
      <c r="AB44" s="1"/>
      <c r="AC44" s="1"/>
      <c r="AD44" s="96"/>
      <c r="AE44" s="47"/>
      <c r="AF44" s="540"/>
      <c r="AG44" s="541"/>
      <c r="AH44" s="564"/>
      <c r="AI44" s="565"/>
      <c r="AJ44" s="566"/>
      <c r="AK44" s="542"/>
      <c r="AL44" s="1158"/>
    </row>
    <row r="45" spans="1:43" ht="13.5" customHeight="1" x14ac:dyDescent="0.3">
      <c r="A45" s="1"/>
      <c r="B45" s="1"/>
      <c r="C45" s="1"/>
      <c r="D45" s="1"/>
      <c r="E45" s="1"/>
      <c r="F45" s="9"/>
      <c r="G45" s="1"/>
      <c r="H45" s="9"/>
      <c r="I45" s="1"/>
      <c r="J45" s="92"/>
      <c r="K45" s="1"/>
      <c r="L45" s="1"/>
      <c r="M45" s="78"/>
      <c r="N45" s="78"/>
      <c r="O45" s="1"/>
      <c r="P45" s="16"/>
      <c r="Q45" s="1028" t="str">
        <f>Y45</f>
        <v>V3.3S</v>
      </c>
      <c r="R45" s="1018" t="str">
        <f>HLOOKUP(Segment_Tier,Power_Gates_Enable,MATCH(IF(ISERROR(SEARCH("Dx_",$Y45)),$Y45,REPLACE($Y45,SEARCH("Dx_",$Y45),3,"S_")),Volume_Load_Names,0)+1,FALSE)</f>
        <v>SLP_S3#</v>
      </c>
      <c r="S45" s="715" t="str">
        <f>I$42</f>
        <v>V3.3_DSW</v>
      </c>
      <c r="T45" s="707" t="e">
        <f>#REF!</f>
        <v>#REF!</v>
      </c>
      <c r="U45" s="708">
        <f>SUM(AA45:AA45)</f>
        <v>7.7000000000000002E-3</v>
      </c>
      <c r="V45" s="709" t="e">
        <f>#REF!</f>
        <v>#REF!</v>
      </c>
      <c r="W45" s="704"/>
      <c r="X45" s="76"/>
      <c r="Y45" s="93" t="str">
        <f>AD76</f>
        <v>V3.3S</v>
      </c>
      <c r="Z45" s="44">
        <f t="shared" ref="Z45:Z55" si="3">VLOOKUP(Y45,$AD$4:$AH$93,3,FALSE)</f>
        <v>3.3</v>
      </c>
      <c r="AA45" s="1000">
        <f t="shared" si="2"/>
        <v>7.7000000000000002E-3</v>
      </c>
      <c r="AB45" s="1"/>
      <c r="AC45" s="1"/>
      <c r="AD45" s="1019" t="s">
        <v>57</v>
      </c>
      <c r="AE45" s="1063" t="s">
        <v>58</v>
      </c>
      <c r="AF45" s="1021">
        <v>3.3</v>
      </c>
      <c r="AG45" s="1014">
        <f>IFERROR(HLOOKUP($C$5,'TGL Rails and Iccmax'!$AG$5:$AY$102, MATCH(IF(ISERROR(SEARCH("Dx_",$AD45)),$AD45,REPLACE($AD45,SEARCH("Dx_",$AD45),3,"S_")),Volume_Load_Names,0)+1, FALSE),"N/A")</f>
        <v>1.1000000000000001E-3</v>
      </c>
      <c r="AH45" s="1057"/>
      <c r="AI45" s="1058"/>
      <c r="AJ45" s="1059"/>
      <c r="AK45" s="1163" t="s">
        <v>58</v>
      </c>
      <c r="AL45" s="1158"/>
      <c r="AQ45" s="1010"/>
    </row>
    <row r="46" spans="1:43" ht="13.5" customHeight="1" thickBot="1" x14ac:dyDescent="0.3">
      <c r="A46" s="1"/>
      <c r="B46" s="1"/>
      <c r="C46" s="1"/>
      <c r="D46" s="1"/>
      <c r="E46" s="1"/>
      <c r="F46" s="9"/>
      <c r="G46" s="1"/>
      <c r="H46" s="9"/>
      <c r="I46" s="1"/>
      <c r="J46" s="77"/>
      <c r="K46" s="1" t="s">
        <v>604</v>
      </c>
      <c r="L46" s="1"/>
      <c r="M46" s="78"/>
      <c r="N46" s="78"/>
      <c r="O46" s="1"/>
      <c r="P46" s="16"/>
      <c r="Q46" s="1028" t="s">
        <v>603</v>
      </c>
      <c r="R46" s="1018" t="str">
        <f>HLOOKUP(Segment_Tier,Power_Gates_Enable,MATCH(IF(ISERROR(SEARCH("Dx_",$Y46)),$Y46,REPLACE($Y46,SEARCH("Dx_",$Y46),3,"S_")),Volume_Load_Names,0)+1,FALSE)</f>
        <v>SLP_S0# &amp;&amp; SLP_S3#</v>
      </c>
      <c r="S46" s="715" t="str">
        <f>I42</f>
        <v>V3.3_DSW</v>
      </c>
      <c r="T46" s="707">
        <f>Z46</f>
        <v>3.3</v>
      </c>
      <c r="U46" s="708">
        <f>AA46</f>
        <v>0.39989999999999998</v>
      </c>
      <c r="V46" s="709" t="e">
        <f>#REF!</f>
        <v>#REF!</v>
      </c>
      <c r="W46" s="704"/>
      <c r="X46" s="76"/>
      <c r="Y46" s="93" t="str">
        <f>AD50</f>
        <v>V3.3Dx_SSD</v>
      </c>
      <c r="Z46" s="44">
        <f t="shared" si="3"/>
        <v>3.3</v>
      </c>
      <c r="AA46" s="1000">
        <f t="shared" si="2"/>
        <v>0.39989999999999998</v>
      </c>
      <c r="AB46" s="1"/>
      <c r="AC46" s="1"/>
      <c r="AD46" s="1019" t="s">
        <v>68</v>
      </c>
      <c r="AE46" s="1063" t="s">
        <v>58</v>
      </c>
      <c r="AF46" s="1021">
        <v>1.8</v>
      </c>
      <c r="AG46" s="1014">
        <f>IFERROR(HLOOKUP($C$5,'TGL Rails and Iccmax'!$AG$5:$AY$102, MATCH(IF(ISERROR(SEARCH("Dx_",$AD46)),$AD46,REPLACE($AD46,SEARCH("Dx_",$AD46),3,"S_")),Volume_Load_Names,0)+1, FALSE),"N/A")</f>
        <v>6.0000000000000001E-3</v>
      </c>
      <c r="AH46" s="1057"/>
      <c r="AI46" s="1058"/>
      <c r="AJ46" s="1059"/>
      <c r="AK46" s="1165"/>
      <c r="AL46" s="1158"/>
    </row>
    <row r="47" spans="1:43" ht="13.5" customHeight="1" thickBot="1" x14ac:dyDescent="0.3">
      <c r="A47" s="1"/>
      <c r="B47" s="1188" t="s">
        <v>50</v>
      </c>
      <c r="C47" s="1188"/>
      <c r="D47" s="1188"/>
      <c r="E47" s="1188"/>
      <c r="F47" s="9"/>
      <c r="G47" s="1"/>
      <c r="H47" s="10" t="s">
        <v>49</v>
      </c>
      <c r="I47" s="1"/>
      <c r="J47" s="77"/>
      <c r="K47" s="1"/>
      <c r="L47" s="1"/>
      <c r="M47" s="78"/>
      <c r="N47" s="78"/>
      <c r="O47" s="1"/>
      <c r="S47" s="2"/>
      <c r="X47" s="76"/>
      <c r="Y47" s="93" t="str">
        <f>AD41</f>
        <v>V3.3Dx_EDP</v>
      </c>
      <c r="Z47" s="44">
        <f t="shared" si="3"/>
        <v>3.3</v>
      </c>
      <c r="AA47" s="1000">
        <f t="shared" si="2"/>
        <v>0.4284</v>
      </c>
      <c r="AB47" s="1"/>
      <c r="AC47" s="1"/>
      <c r="AD47" s="1064"/>
      <c r="AE47" s="123"/>
      <c r="AF47" s="537"/>
      <c r="AG47" s="538"/>
      <c r="AH47" s="573"/>
      <c r="AI47" s="565"/>
      <c r="AJ47" s="574"/>
      <c r="AK47" s="575"/>
      <c r="AL47" s="1158"/>
    </row>
    <row r="48" spans="1:43" ht="13.5" customHeight="1" x14ac:dyDescent="0.25">
      <c r="A48" s="1"/>
      <c r="B48" s="97" t="s">
        <v>53</v>
      </c>
      <c r="C48" s="98"/>
      <c r="D48" s="99" t="s">
        <v>54</v>
      </c>
      <c r="E48" s="100"/>
      <c r="F48" s="9"/>
      <c r="G48" s="1"/>
      <c r="H48" s="9"/>
      <c r="I48" s="1"/>
      <c r="J48" s="77"/>
      <c r="K48" s="1"/>
      <c r="L48" s="1"/>
      <c r="M48" s="78"/>
      <c r="N48" s="78"/>
      <c r="O48" s="1"/>
      <c r="S48" s="2"/>
      <c r="X48" s="76"/>
      <c r="Y48" s="93" t="str">
        <f>AD71</f>
        <v>V3.3Dx_DPWP</v>
      </c>
      <c r="Z48" s="44">
        <f t="shared" si="3"/>
        <v>3.3</v>
      </c>
      <c r="AA48" s="1000">
        <f t="shared" si="2"/>
        <v>0.5</v>
      </c>
      <c r="AB48" s="1"/>
      <c r="AC48" s="1"/>
      <c r="AD48" s="1019" t="s">
        <v>63</v>
      </c>
      <c r="AE48" s="1063" t="s">
        <v>64</v>
      </c>
      <c r="AF48" s="1021">
        <v>3.3</v>
      </c>
      <c r="AG48" s="1014">
        <f>IFERROR(HLOOKUP($C$5,'TGL Rails and Iccmax'!$AG$5:$AY$102, MATCH(IF(ISERROR(SEARCH("Dx_",$AD48)),$AD48,REPLACE($AD48,SEARCH("Dx_",$AD48),3,"S_")),Volume_Load_Names,0)+1, FALSE),"N/A")</f>
        <v>1E-4</v>
      </c>
      <c r="AH48" s="1057"/>
      <c r="AI48" s="1058"/>
      <c r="AJ48" s="1059"/>
      <c r="AK48" s="1065" t="s">
        <v>318</v>
      </c>
      <c r="AL48" s="1158"/>
    </row>
    <row r="49" spans="1:41" ht="13.5" customHeight="1" x14ac:dyDescent="0.25">
      <c r="A49" s="1"/>
      <c r="B49" s="102" t="s">
        <v>55</v>
      </c>
      <c r="C49" s="103"/>
      <c r="D49" s="104" t="s">
        <v>56</v>
      </c>
      <c r="E49" s="105"/>
      <c r="F49" s="9"/>
      <c r="G49" s="1"/>
      <c r="H49" s="9"/>
      <c r="I49" s="1"/>
      <c r="J49" s="77"/>
      <c r="K49" s="1"/>
      <c r="L49" s="1"/>
      <c r="M49" s="78"/>
      <c r="N49" s="78"/>
      <c r="O49" s="1"/>
      <c r="S49" s="2"/>
      <c r="X49" s="76"/>
      <c r="Y49" s="93" t="str">
        <f>AD48</f>
        <v>V3.3Dx_TOUCHSCREEN</v>
      </c>
      <c r="Z49" s="44">
        <f t="shared" si="3"/>
        <v>3.3</v>
      </c>
      <c r="AA49" s="1066">
        <f t="shared" si="2"/>
        <v>1E-4</v>
      </c>
      <c r="AB49" s="1"/>
      <c r="AC49" s="1"/>
      <c r="AD49" s="1064"/>
      <c r="AE49" s="123"/>
      <c r="AF49" s="537"/>
      <c r="AG49" s="538"/>
      <c r="AH49" s="573"/>
      <c r="AI49" s="565"/>
      <c r="AJ49" s="574"/>
      <c r="AK49" s="575"/>
      <c r="AL49" s="1158"/>
    </row>
    <row r="50" spans="1:41" ht="13.5" customHeight="1" x14ac:dyDescent="0.25">
      <c r="A50" s="1"/>
      <c r="B50" s="102" t="s">
        <v>59</v>
      </c>
      <c r="C50" s="103"/>
      <c r="D50" s="104" t="s">
        <v>60</v>
      </c>
      <c r="E50" s="105"/>
      <c r="F50" s="9"/>
      <c r="G50" s="1"/>
      <c r="H50" s="9"/>
      <c r="I50" s="1"/>
      <c r="J50" s="77"/>
      <c r="K50" s="1"/>
      <c r="L50" s="1"/>
      <c r="M50" s="78"/>
      <c r="N50" s="78"/>
      <c r="O50" s="1"/>
      <c r="S50" s="2"/>
      <c r="X50" s="76"/>
      <c r="Y50" s="93" t="str">
        <f>AD43</f>
        <v>V3.3Dx_CAMERA</v>
      </c>
      <c r="Z50" s="44">
        <f t="shared" si="3"/>
        <v>3.3</v>
      </c>
      <c r="AA50" s="1000">
        <f t="shared" si="2"/>
        <v>0.18340000000000001</v>
      </c>
      <c r="AB50" s="1"/>
      <c r="AC50" s="1"/>
      <c r="AD50" s="1019" t="s">
        <v>71</v>
      </c>
      <c r="AE50" s="1056" t="s">
        <v>396</v>
      </c>
      <c r="AF50" s="1021">
        <v>3.3</v>
      </c>
      <c r="AG50" s="1014">
        <f>IFERROR(HLOOKUP($C$5,'TGL Rails and Iccmax'!$AG$5:$AY$102, MATCH(IF(ISERROR(SEARCH("Dx_",$AD50)),$AD50,REPLACE($AD50,SEARCH("Dx_",$AD50),3,"S_")),Volume_Load_Names,0)+1, FALSE),"N/A")</f>
        <v>0.39989999999999998</v>
      </c>
      <c r="AH50" s="1057"/>
      <c r="AI50" s="1058"/>
      <c r="AJ50" s="1059"/>
      <c r="AK50" s="1163" t="s">
        <v>70</v>
      </c>
      <c r="AL50" s="1158"/>
    </row>
    <row r="51" spans="1:41" ht="13.5" customHeight="1" x14ac:dyDescent="0.25">
      <c r="A51" s="1"/>
      <c r="B51" s="102" t="s">
        <v>61</v>
      </c>
      <c r="C51" s="103"/>
      <c r="D51" s="104" t="s">
        <v>62</v>
      </c>
      <c r="E51" s="105"/>
      <c r="F51" s="9"/>
      <c r="G51" s="1"/>
      <c r="H51" s="9"/>
      <c r="I51" s="1"/>
      <c r="J51" s="101"/>
      <c r="K51" s="1"/>
      <c r="L51" s="1"/>
      <c r="M51" s="78"/>
      <c r="N51" s="78"/>
      <c r="O51" s="1"/>
      <c r="S51" s="2"/>
      <c r="X51" s="76"/>
      <c r="Y51" s="730" t="str">
        <f>AD53</f>
        <v>V3.3Dx_SDCARD</v>
      </c>
      <c r="Z51" s="44">
        <f t="shared" si="3"/>
        <v>3.3</v>
      </c>
      <c r="AA51" s="1000">
        <f t="shared" si="2"/>
        <v>5.9999999999999995E-4</v>
      </c>
      <c r="AB51" s="1"/>
      <c r="AC51" s="1"/>
      <c r="AD51" s="1067" t="s">
        <v>72</v>
      </c>
      <c r="AE51" s="1068" t="s">
        <v>76</v>
      </c>
      <c r="AF51" s="1069">
        <v>1.8</v>
      </c>
      <c r="AG51" s="1014">
        <f>IFERROR(HLOOKUP($C$5,'TGL Rails and Iccmax'!$AG$5:$AY$102, MATCH(IF(ISERROR(SEARCH("Dx_",$AD51)),$AD51,REPLACE($AD51,SEARCH("Dx_",$AD51),3,"S_")),Volume_Load_Names,0)+1, FALSE),"N/A")</f>
        <v>7.0000000000000007E-2</v>
      </c>
      <c r="AH51" s="1057"/>
      <c r="AI51" s="1058"/>
      <c r="AJ51" s="1059"/>
      <c r="AK51" s="1165"/>
      <c r="AL51" s="1158"/>
    </row>
    <row r="52" spans="1:41" ht="13.5" customHeight="1" thickBot="1" x14ac:dyDescent="0.3">
      <c r="A52" s="1"/>
      <c r="B52" s="109" t="s">
        <v>65</v>
      </c>
      <c r="C52" s="110"/>
      <c r="D52" s="111" t="s">
        <v>66</v>
      </c>
      <c r="E52" s="112"/>
      <c r="F52" s="9"/>
      <c r="G52" s="1"/>
      <c r="H52" s="9"/>
      <c r="I52" s="1"/>
      <c r="J52" s="101"/>
      <c r="K52" s="1"/>
      <c r="L52" s="1"/>
      <c r="M52" s="78"/>
      <c r="N52" s="78"/>
      <c r="O52" s="1"/>
      <c r="P52" s="16"/>
      <c r="Q52" s="1028" t="str">
        <f>Y52</f>
        <v>V3.3Dx_WIFI</v>
      </c>
      <c r="R52" s="1018" t="str">
        <f>IF(AND(F$10,F$11),"GPIO_"&amp;RIGHT($Y52,LEN($Y52)-FIND("_",$Y52)),HLOOKUP(Segment_Tier,Power_Gates_Enable,MATCH(IF(ISERROR(SEARCH("Dx_",$Y52)),$Y52,REPLACE($Y52,SEARCH("Dx_",$Y52),3,"S_")),Volume_Load_Names,0)+1,FALSE))</f>
        <v>GPIO_WIRELESS</v>
      </c>
      <c r="S52" s="715" t="str">
        <f xml:space="preserve"> IF(AND($F$10=1,$F$11=1),I$42,"")</f>
        <v/>
      </c>
      <c r="T52" s="707">
        <f>Z52</f>
        <v>3.3</v>
      </c>
      <c r="U52" s="708">
        <f>AA52</f>
        <v>1.0860000000000001</v>
      </c>
      <c r="V52" s="709" t="e">
        <f>#REF!</f>
        <v>#REF!</v>
      </c>
      <c r="W52" s="704"/>
      <c r="X52" s="76"/>
      <c r="Y52" s="731" t="s">
        <v>80</v>
      </c>
      <c r="Z52" s="743">
        <f t="shared" si="3"/>
        <v>3.3</v>
      </c>
      <c r="AA52" s="1029">
        <f t="shared" si="2"/>
        <v>1.0860000000000001</v>
      </c>
      <c r="AB52" s="1"/>
      <c r="AC52" s="1"/>
      <c r="AD52" s="567"/>
      <c r="AE52" s="120"/>
      <c r="AF52" s="568"/>
      <c r="AG52" s="569"/>
      <c r="AH52" s="570"/>
      <c r="AI52" s="526"/>
      <c r="AJ52" s="571"/>
      <c r="AK52" s="572"/>
      <c r="AL52" s="1158"/>
    </row>
    <row r="53" spans="1:41" ht="13.5" customHeight="1" x14ac:dyDescent="0.25">
      <c r="A53" s="1"/>
      <c r="B53" s="1"/>
      <c r="C53" s="1"/>
      <c r="D53" s="1"/>
      <c r="E53" s="1"/>
      <c r="F53" s="9"/>
      <c r="G53" s="1"/>
      <c r="H53" s="9"/>
      <c r="I53" s="1"/>
      <c r="J53" s="101"/>
      <c r="K53" s="1"/>
      <c r="L53" s="1"/>
      <c r="M53" s="78"/>
      <c r="N53" s="78"/>
      <c r="O53" s="1"/>
      <c r="S53" s="2"/>
      <c r="X53" s="59"/>
      <c r="Y53" s="731" t="s">
        <v>484</v>
      </c>
      <c r="Z53" s="743">
        <f t="shared" si="3"/>
        <v>3.3</v>
      </c>
      <c r="AA53" s="1029">
        <f t="shared" si="2"/>
        <v>2.5</v>
      </c>
      <c r="AB53" s="1"/>
      <c r="AC53" s="1"/>
      <c r="AD53" s="1019" t="s">
        <v>73</v>
      </c>
      <c r="AE53" s="1063" t="s">
        <v>74</v>
      </c>
      <c r="AF53" s="1021">
        <v>3.3</v>
      </c>
      <c r="AG53" s="1014">
        <f>IFERROR(HLOOKUP($C$5,'TGL Rails and Iccmax'!$AG$5:$AY$102, MATCH(IF(ISERROR(SEARCH("Dx_",$AD53)),$AD53,REPLACE($AD53,SEARCH("Dx_",$AD53),3,"S_")),Volume_Load_Names,0)+1, FALSE),"N/A")</f>
        <v>5.9999999999999995E-4</v>
      </c>
      <c r="AH53" s="1057"/>
      <c r="AI53" s="1058"/>
      <c r="AJ53" s="1059"/>
      <c r="AK53" s="1163" t="s">
        <v>397</v>
      </c>
      <c r="AL53" s="1158"/>
    </row>
    <row r="54" spans="1:41" ht="13.5" customHeight="1" x14ac:dyDescent="0.25">
      <c r="A54" s="1"/>
      <c r="B54" s="1"/>
      <c r="C54" s="1"/>
      <c r="D54" s="1"/>
      <c r="E54" s="1"/>
      <c r="F54" s="18"/>
      <c r="G54" s="1"/>
      <c r="H54" s="1"/>
      <c r="I54" s="1"/>
      <c r="J54" s="77"/>
      <c r="K54" s="1"/>
      <c r="L54" s="1"/>
      <c r="M54" s="78"/>
      <c r="N54" s="78"/>
      <c r="O54" s="1"/>
      <c r="P54" s="16"/>
      <c r="Q54" s="1028" t="str">
        <f>Y54</f>
        <v>V3.3S_AUDIO</v>
      </c>
      <c r="R54" s="1018" t="str">
        <f>IF(OR(F$10,F$11),"GPIO_"&amp;RIGHT($Y54,LEN($Y54)-FIND("_",$Y54)),HLOOKUP(Segment_Tier,Power_Gates_Enable,MATCH(IF(ISERROR(SEARCH("Dx_",$Y54)),$Y54,REPLACE($Y54,SEARCH("Dx_",$Y54),3,"S_")),Volume_Load_Names,0)+1,FALSE))</f>
        <v>GPIO_AUDIO</v>
      </c>
      <c r="S54" s="715" t="str">
        <f xml:space="preserve"> IF(OR($F$10=1,$F$11=1),I$42,"")</f>
        <v>V3.3_DSW</v>
      </c>
      <c r="T54" s="707">
        <f>Z54</f>
        <v>3.3</v>
      </c>
      <c r="U54" s="708">
        <f>AA54</f>
        <v>2.0000000000000001E-4</v>
      </c>
      <c r="V54" s="709" t="e">
        <f>#REF!</f>
        <v>#REF!</v>
      </c>
      <c r="W54" s="704"/>
      <c r="X54" s="76"/>
      <c r="Y54" s="731" t="s">
        <v>83</v>
      </c>
      <c r="Z54" s="743">
        <f t="shared" si="3"/>
        <v>3.3</v>
      </c>
      <c r="AA54" s="1070">
        <f t="shared" si="2"/>
        <v>2.0000000000000001E-4</v>
      </c>
      <c r="AB54" s="1"/>
      <c r="AC54" s="1"/>
      <c r="AD54" s="1019" t="s">
        <v>75</v>
      </c>
      <c r="AE54" s="1063" t="s">
        <v>76</v>
      </c>
      <c r="AF54" s="1021">
        <v>1.8</v>
      </c>
      <c r="AG54" s="1014">
        <f>IFERROR(HLOOKUP($C$5,'TGL Rails and Iccmax'!$AG$5:$AY$102, MATCH(IF(ISERROR(SEARCH("Dx_",$AD54)),$AD54,REPLACE($AD54,SEARCH("Dx_",$AD54),3,"S_")),Volume_Load_Names,0)+1, FALSE),"N/A")</f>
        <v>5.9999999999999995E-4</v>
      </c>
      <c r="AH54" s="1057"/>
      <c r="AI54" s="1058"/>
      <c r="AJ54" s="1059"/>
      <c r="AK54" s="1165"/>
      <c r="AL54" s="1158"/>
    </row>
    <row r="55" spans="1:41" ht="13.5" customHeight="1" thickBot="1" x14ac:dyDescent="0.3">
      <c r="A55" s="1"/>
      <c r="B55" s="16"/>
      <c r="C55" s="16"/>
      <c r="D55" s="16"/>
      <c r="E55" s="16"/>
      <c r="F55" s="18"/>
      <c r="I55" s="1"/>
      <c r="J55" s="77"/>
      <c r="K55" s="1"/>
      <c r="L55" s="1"/>
      <c r="M55" s="78"/>
      <c r="N55" s="78"/>
      <c r="O55" s="1"/>
      <c r="P55" s="16"/>
      <c r="U55" s="95"/>
      <c r="V55" s="107"/>
      <c r="X55" s="76"/>
      <c r="Y55" s="744" t="s">
        <v>57</v>
      </c>
      <c r="Z55" s="745">
        <f t="shared" si="3"/>
        <v>3.3</v>
      </c>
      <c r="AA55" s="1036">
        <f t="shared" si="2"/>
        <v>1.1000000000000001E-3</v>
      </c>
      <c r="AB55" s="1"/>
      <c r="AC55" s="1"/>
      <c r="AD55" s="96"/>
      <c r="AE55" s="47"/>
      <c r="AF55" s="540"/>
      <c r="AG55" s="541"/>
      <c r="AH55" s="564"/>
      <c r="AI55" s="565"/>
      <c r="AJ55" s="566"/>
      <c r="AK55" s="542"/>
      <c r="AL55" s="1158"/>
    </row>
    <row r="56" spans="1:41" ht="13.5" customHeight="1" thickBot="1" x14ac:dyDescent="0.3">
      <c r="A56" s="1"/>
      <c r="B56" s="16"/>
      <c r="C56" s="16"/>
      <c r="D56" s="16"/>
      <c r="E56" s="16"/>
      <c r="F56" s="18"/>
      <c r="I56" s="1"/>
      <c r="J56" s="77"/>
      <c r="K56" s="1"/>
      <c r="L56" s="1"/>
      <c r="M56" s="78"/>
      <c r="N56" s="78"/>
      <c r="O56" s="1"/>
      <c r="P56" s="16"/>
      <c r="U56" s="95"/>
      <c r="V56" s="107"/>
      <c r="Y56" s="65"/>
      <c r="Z56" s="48"/>
      <c r="AA56" s="108"/>
      <c r="AB56" s="1"/>
      <c r="AC56" s="1"/>
      <c r="AD56" s="1019" t="s">
        <v>484</v>
      </c>
      <c r="AE56" s="1063" t="s">
        <v>78</v>
      </c>
      <c r="AF56" s="1021">
        <v>3.3</v>
      </c>
      <c r="AG56" s="1014">
        <f>IFERROR(HLOOKUP($C$5,'TGL Rails and Iccmax'!$AG$5:$AY$102, MATCH(IF(ISERROR(SEARCH("Dx_",$AD56)),$AD56,REPLACE($AD56,SEARCH("Dx_",$AD56),3,"S_")),Volume_Load_Names,0)+1, FALSE),"N/A")</f>
        <v>2.5</v>
      </c>
      <c r="AH56" s="1057"/>
      <c r="AI56" s="1058"/>
      <c r="AJ56" s="1059"/>
      <c r="AK56" s="1163" t="s">
        <v>77</v>
      </c>
      <c r="AL56" s="1158"/>
    </row>
    <row r="57" spans="1:41" ht="13.5" customHeight="1" thickBot="1" x14ac:dyDescent="0.3">
      <c r="A57" s="1"/>
      <c r="B57" s="16"/>
      <c r="C57" s="16"/>
      <c r="D57" s="16"/>
      <c r="E57" s="16"/>
      <c r="F57" s="18"/>
      <c r="G57" s="79"/>
      <c r="H57" s="79"/>
      <c r="I57" s="1153" t="s">
        <v>67</v>
      </c>
      <c r="J57" s="20" t="s">
        <v>98</v>
      </c>
      <c r="K57" s="994" t="s">
        <v>19</v>
      </c>
      <c r="L57" s="51">
        <f>Z57</f>
        <v>5</v>
      </c>
      <c r="M57" s="22">
        <f>SUM(AA57:AA60)</f>
        <v>3.75</v>
      </c>
      <c r="N57" s="1154"/>
      <c r="O57" s="1"/>
      <c r="P57" s="16"/>
      <c r="Q57" s="1"/>
      <c r="R57" s="9"/>
      <c r="T57" s="1"/>
      <c r="U57" s="78"/>
      <c r="V57" s="113"/>
      <c r="W57" s="1"/>
      <c r="X57" s="1"/>
      <c r="Y57" s="91" t="str">
        <f>AD77</f>
        <v>V5A</v>
      </c>
      <c r="Z57" s="39">
        <f>VLOOKUP(Y57,$AD$4:$AH$93,3,FALSE)</f>
        <v>5</v>
      </c>
      <c r="AA57" s="1060">
        <f>VLOOKUP(Y57,$AD$4:$AH$93,4,FALSE)</f>
        <v>0.2</v>
      </c>
      <c r="AC57" s="1"/>
      <c r="AD57" s="1019" t="s">
        <v>530</v>
      </c>
      <c r="AE57" s="1063" t="s">
        <v>76</v>
      </c>
      <c r="AF57" s="1021">
        <v>1.8</v>
      </c>
      <c r="AG57" s="1014">
        <f>IFERROR(HLOOKUP($C$5,'TGL Rails and Iccmax'!$AG$5:$AY$102, MATCH(IF(ISERROR(SEARCH("Dx_",$AD57)),$AD57,REPLACE($AD57,SEARCH("Dx_",$AD57),3,"S_")),Volume_Load_Names,0)+1, FALSE),"N/A")</f>
        <v>7.0000000000000007E-2</v>
      </c>
      <c r="AH57" s="1057"/>
      <c r="AI57" s="1058"/>
      <c r="AJ57" s="1059"/>
      <c r="AK57" s="1165"/>
      <c r="AL57" s="1158"/>
      <c r="AM57" s="1071"/>
    </row>
    <row r="58" spans="1:41" ht="13.5" customHeight="1" x14ac:dyDescent="0.25">
      <c r="A58" s="1"/>
      <c r="B58" s="16"/>
      <c r="C58" s="16"/>
      <c r="D58" s="16"/>
      <c r="E58" s="16"/>
      <c r="F58" s="18"/>
      <c r="G58" s="79"/>
      <c r="H58" s="79"/>
      <c r="I58" s="1"/>
      <c r="J58" s="77"/>
      <c r="K58" s="1"/>
      <c r="L58" s="1"/>
      <c r="M58" s="1"/>
      <c r="N58" s="1"/>
      <c r="O58" s="1"/>
      <c r="P58" s="16"/>
      <c r="Q58" s="1028" t="s">
        <v>443</v>
      </c>
      <c r="R58" s="1018" t="str">
        <f>HLOOKUP(Segment_Tier,Power_Gates_Enable,MATCH(IF(ISERROR(SEARCH("Dx_",$Y58)),$Y58,REPLACE($Y58,SEARCH("Dx_",$Y58),3,"S_")),Volume_Load_Names,0)+1,FALSE)</f>
        <v>SLP_S3#</v>
      </c>
      <c r="S58" s="699" t="str">
        <f>"V5A"</f>
        <v>V5A</v>
      </c>
      <c r="T58" s="700">
        <f>Z58</f>
        <v>5</v>
      </c>
      <c r="U58" s="701">
        <f>AA58</f>
        <v>1.5</v>
      </c>
      <c r="V58" s="702" t="e">
        <f>#REF!</f>
        <v>#REF!</v>
      </c>
      <c r="W58" s="704"/>
      <c r="X58" s="76"/>
      <c r="Y58" s="93" t="str">
        <f>AD62</f>
        <v>V5S_AUDIO</v>
      </c>
      <c r="Z58" s="44">
        <f>VLOOKUP(Y58,$AD$4:$AH$93,3,FALSE)</f>
        <v>5</v>
      </c>
      <c r="AA58" s="1000">
        <f>VLOOKUP(Y58,$AD$4:$AH$93,4,FALSE)</f>
        <v>1.5</v>
      </c>
      <c r="AC58" s="1"/>
      <c r="AD58" s="563"/>
      <c r="AE58" s="47"/>
      <c r="AF58" s="540"/>
      <c r="AG58" s="541"/>
      <c r="AH58" s="551"/>
      <c r="AI58" s="552"/>
      <c r="AJ58" s="553"/>
      <c r="AK58" s="534"/>
      <c r="AL58" s="1158"/>
    </row>
    <row r="59" spans="1:41" ht="13.5" customHeight="1" x14ac:dyDescent="0.25">
      <c r="A59" s="1"/>
      <c r="B59" s="16"/>
      <c r="C59" s="16"/>
      <c r="D59" s="16"/>
      <c r="E59" s="16"/>
      <c r="F59" s="18"/>
      <c r="G59" s="993"/>
      <c r="H59" s="993"/>
      <c r="I59" s="1"/>
      <c r="J59" s="77"/>
      <c r="K59" s="1"/>
      <c r="L59" s="1"/>
      <c r="M59" s="1"/>
      <c r="N59" s="1"/>
      <c r="O59" s="1"/>
      <c r="P59" s="16"/>
      <c r="Q59" s="705"/>
      <c r="R59" s="79"/>
      <c r="S59" s="103"/>
      <c r="T59" s="79"/>
      <c r="U59" s="115"/>
      <c r="V59" s="116"/>
      <c r="W59" s="79"/>
      <c r="X59" s="76"/>
      <c r="Y59" s="93" t="str">
        <f>AD70</f>
        <v>V5Dx_HDMIWP</v>
      </c>
      <c r="Z59" s="44">
        <f>VLOOKUP(Y59,$AD$4:$AH$93,3,FALSE)</f>
        <v>5</v>
      </c>
      <c r="AA59" s="1000">
        <f>VLOOKUP(Y59,$AD$4:$AH$93,4,FALSE)</f>
        <v>0.05</v>
      </c>
      <c r="AB59" s="94"/>
      <c r="AC59" s="1"/>
      <c r="AD59" s="1019" t="s">
        <v>80</v>
      </c>
      <c r="AE59" s="1020" t="s">
        <v>398</v>
      </c>
      <c r="AF59" s="1021">
        <v>3.3</v>
      </c>
      <c r="AG59" s="1014">
        <f>IFERROR(HLOOKUP($C$5,'TGL Rails and Iccmax'!$AG$5:$AY$102, MATCH(IF(ISERROR(SEARCH("Dx_",$AD59)),$AD59,REPLACE($AD59,SEARCH("Dx_",$AD59),3,"S_")),Volume_Load_Names,0)+1, FALSE),"N/A")</f>
        <v>1.0860000000000001</v>
      </c>
      <c r="AH59" s="1057"/>
      <c r="AI59" s="1058"/>
      <c r="AJ59" s="1059"/>
      <c r="AK59" s="1065" t="s">
        <v>79</v>
      </c>
      <c r="AL59" s="1158"/>
    </row>
    <row r="60" spans="1:41" ht="13.5" customHeight="1" thickBot="1" x14ac:dyDescent="0.3">
      <c r="A60" s="1"/>
      <c r="B60" s="1168"/>
      <c r="C60" s="1168"/>
      <c r="D60" s="1168"/>
      <c r="E60" s="1168"/>
      <c r="F60" s="18"/>
      <c r="G60" s="993"/>
      <c r="H60" s="993"/>
      <c r="I60" s="1"/>
      <c r="J60" s="77"/>
      <c r="K60" s="1"/>
      <c r="L60" s="1"/>
      <c r="M60" s="1"/>
      <c r="N60" s="1"/>
      <c r="O60" s="1"/>
      <c r="P60" s="16"/>
      <c r="Q60" s="79"/>
      <c r="R60" s="79"/>
      <c r="S60" s="103"/>
      <c r="T60" s="79"/>
      <c r="U60" s="115"/>
      <c r="V60" s="116"/>
      <c r="W60" s="79"/>
      <c r="X60" s="76"/>
      <c r="Y60" s="106" t="str">
        <f>AD69</f>
        <v>V5Dx_USBWP</v>
      </c>
      <c r="Z60" s="45">
        <f>VLOOKUP(Y60,$AD$4:$AH$93,3,FALSE)</f>
        <v>5</v>
      </c>
      <c r="AA60" s="1072">
        <f>VLOOKUP(Y60,$AD$4:$AH$93,4,FALSE)</f>
        <v>2</v>
      </c>
      <c r="AB60" s="94"/>
      <c r="AD60" s="1019" t="s">
        <v>445</v>
      </c>
      <c r="AE60" s="1020" t="s">
        <v>76</v>
      </c>
      <c r="AF60" s="1021">
        <v>1.8</v>
      </c>
      <c r="AG60" s="1014">
        <f>IFERROR(HLOOKUP($C$5,'TGL Rails and Iccmax'!$AG$5:$AY$102, MATCH(IF(ISERROR(SEARCH("Dx_",$AD60)),$AD60,REPLACE($AD60,SEARCH("Dx_",$AD60),3,"S_")),Volume_Load_Names,0)+1, FALSE),"N/A")</f>
        <v>0</v>
      </c>
      <c r="AH60" s="1057"/>
      <c r="AI60" s="1058"/>
      <c r="AJ60" s="1059"/>
      <c r="AK60" s="1065" t="s">
        <v>79</v>
      </c>
      <c r="AL60" s="1158"/>
      <c r="AO60" s="79"/>
    </row>
    <row r="61" spans="1:41" ht="13.5" customHeight="1" thickBot="1" x14ac:dyDescent="0.3">
      <c r="A61" s="1"/>
      <c r="B61" s="121"/>
      <c r="C61" s="16"/>
      <c r="D61" s="16"/>
      <c r="E61" s="16"/>
      <c r="F61" s="79"/>
      <c r="G61" s="103"/>
      <c r="H61" s="103"/>
      <c r="I61" s="1"/>
      <c r="J61" s="77"/>
      <c r="K61" s="1"/>
      <c r="L61" s="1"/>
      <c r="M61" s="1"/>
      <c r="N61" s="1"/>
      <c r="O61" s="1"/>
      <c r="P61" s="16"/>
      <c r="Q61" s="79"/>
      <c r="R61" s="79"/>
      <c r="S61" s="103"/>
      <c r="T61" s="79"/>
      <c r="U61" s="115"/>
      <c r="V61" s="116"/>
      <c r="W61" s="79"/>
      <c r="X61" s="79"/>
      <c r="Y61" s="104"/>
      <c r="Z61" s="117"/>
      <c r="AA61" s="118"/>
      <c r="AB61" s="94"/>
      <c r="AD61" s="567"/>
      <c r="AE61" s="117"/>
      <c r="AF61" s="537"/>
      <c r="AG61" s="538"/>
      <c r="AH61" s="573"/>
      <c r="AI61" s="565"/>
      <c r="AJ61" s="574"/>
      <c r="AK61" s="575"/>
      <c r="AL61" s="1158"/>
    </row>
    <row r="62" spans="1:41" ht="13.5" customHeight="1" thickBot="1" x14ac:dyDescent="0.3">
      <c r="A62" s="1"/>
      <c r="B62" s="121"/>
      <c r="C62" s="16"/>
      <c r="D62" s="16"/>
      <c r="E62" s="16"/>
      <c r="F62" s="18"/>
      <c r="G62" s="103"/>
      <c r="H62" s="103"/>
      <c r="I62" s="1"/>
      <c r="J62" s="77"/>
      <c r="K62" s="1"/>
      <c r="L62" s="1"/>
      <c r="M62" s="1"/>
      <c r="N62" s="1"/>
      <c r="O62" s="1"/>
      <c r="P62" s="16"/>
      <c r="Q62" s="1028" t="str">
        <f>Y62</f>
        <v>VDCDx_EDP</v>
      </c>
      <c r="R62" s="1018" t="str">
        <f>HLOOKUP(Segment_Tier,Power_Gates_Enable,MATCH($Y62,Volume_Load_Names,0)+1,FALSE)</f>
        <v>GPIO_L</v>
      </c>
      <c r="S62" s="715" t="s">
        <v>19</v>
      </c>
      <c r="T62" s="707" t="s">
        <v>19</v>
      </c>
      <c r="U62" s="708">
        <f>AA62</f>
        <v>0.55000000000000004</v>
      </c>
      <c r="V62" s="709" t="e">
        <f>#REF!</f>
        <v>#REF!</v>
      </c>
      <c r="W62" s="704"/>
      <c r="X62" s="76"/>
      <c r="Y62" s="119" t="str">
        <f>AD40</f>
        <v>VDCDx_EDP</v>
      </c>
      <c r="Z62" s="34" t="str">
        <f>VLOOKUP(Y62,$AD$4:$AH$93,3,FALSE)</f>
        <v>VDC</v>
      </c>
      <c r="AA62" s="1039">
        <f>VLOOKUP(Y62,$AD$4:$AH$93,4,FALSE)</f>
        <v>0.55000000000000004</v>
      </c>
      <c r="AB62" s="94"/>
      <c r="AC62" s="94"/>
      <c r="AD62" s="1019" t="s">
        <v>81</v>
      </c>
      <c r="AE62" s="1056" t="s">
        <v>82</v>
      </c>
      <c r="AF62" s="1021">
        <v>5</v>
      </c>
      <c r="AG62" s="1014">
        <f>IFERROR(HLOOKUP($C$5,'TGL Rails and Iccmax'!$AG$5:$AY$102, MATCH(IF(ISERROR(SEARCH("Dx_",$AD62)),$AD62,REPLACE($AD62,SEARCH("Dx_",$AD62),3,"S_")),Volume_Load_Names,0)+1, FALSE),"N/A")</f>
        <v>1.5</v>
      </c>
      <c r="AH62" s="1057"/>
      <c r="AI62" s="1058"/>
      <c r="AJ62" s="1059"/>
      <c r="AK62" s="1163" t="s">
        <v>399</v>
      </c>
      <c r="AL62" s="1158"/>
    </row>
    <row r="63" spans="1:41" ht="13.5" customHeight="1" x14ac:dyDescent="0.25">
      <c r="A63" s="1"/>
      <c r="B63" s="122"/>
      <c r="C63" s="16"/>
      <c r="D63" s="16"/>
      <c r="E63" s="16"/>
      <c r="F63" s="18"/>
      <c r="G63" s="103"/>
      <c r="H63" s="103"/>
      <c r="P63" s="79"/>
      <c r="S63" s="665"/>
      <c r="T63" s="16"/>
      <c r="U63" s="16"/>
      <c r="V63" s="16"/>
      <c r="W63" s="16"/>
      <c r="X63" s="16"/>
      <c r="Y63" s="16"/>
      <c r="Z63" s="16"/>
      <c r="AA63" s="16"/>
      <c r="AB63" s="114"/>
      <c r="AC63" s="94"/>
      <c r="AD63" s="1019" t="s">
        <v>83</v>
      </c>
      <c r="AE63" s="1056" t="s">
        <v>84</v>
      </c>
      <c r="AF63" s="1021">
        <v>3.3</v>
      </c>
      <c r="AG63" s="1014">
        <f>IFERROR(HLOOKUP($C$5,'TGL Rails and Iccmax'!$AG$5:$AY$102, MATCH(IF(ISERROR(SEARCH("Dx_",$AD63)),$AD63,REPLACE($AD63,SEARCH("Dx_",$AD63),3,"S_")),Volume_Load_Names,0)+1, FALSE),"N/A")</f>
        <v>2.0000000000000001E-4</v>
      </c>
      <c r="AH63" s="1057"/>
      <c r="AI63" s="1058"/>
      <c r="AJ63" s="1059"/>
      <c r="AK63" s="1164"/>
      <c r="AL63" s="1158"/>
    </row>
    <row r="64" spans="1:41" ht="13.5" customHeight="1" x14ac:dyDescent="0.25">
      <c r="A64" s="1"/>
      <c r="B64" s="121"/>
      <c r="C64" s="79"/>
      <c r="D64" s="79"/>
      <c r="E64" s="79"/>
      <c r="F64" s="18"/>
      <c r="G64" s="103"/>
      <c r="H64" s="103"/>
      <c r="S64" s="665"/>
      <c r="T64" s="16"/>
      <c r="U64" s="16"/>
      <c r="V64" s="16"/>
      <c r="W64" s="16"/>
      <c r="X64" s="16"/>
      <c r="Y64" s="16"/>
      <c r="Z64" s="16"/>
      <c r="AA64" s="16"/>
      <c r="AB64" s="114"/>
      <c r="AC64" s="94"/>
      <c r="AD64" s="1019" t="s">
        <v>85</v>
      </c>
      <c r="AE64" s="1063" t="s">
        <v>76</v>
      </c>
      <c r="AF64" s="1021">
        <v>1.8</v>
      </c>
      <c r="AG64" s="1014">
        <f>IFERROR(HLOOKUP($C$5,'TGL Rails and Iccmax'!$AG$5:$AY$102, MATCH(IF(ISERROR(SEARCH("Dx_",$AD64)),$AD64,REPLACE($AD64,SEARCH("Dx_",$AD64),3,"S_")),Volume_Load_Names,0)+1, FALSE),"N/A")</f>
        <v>2.07E-2</v>
      </c>
      <c r="AH64" s="1057"/>
      <c r="AI64" s="1058"/>
      <c r="AJ64" s="1059"/>
      <c r="AK64" s="1165"/>
      <c r="AL64" s="1158"/>
    </row>
    <row r="65" spans="1:39" ht="13.5" customHeight="1" x14ac:dyDescent="0.25">
      <c r="A65" s="1"/>
      <c r="B65" s="121"/>
      <c r="C65" s="79"/>
      <c r="D65" s="79"/>
      <c r="E65" s="79"/>
      <c r="F65" s="18"/>
      <c r="G65" s="79"/>
      <c r="H65" s="79"/>
      <c r="I65" s="79"/>
      <c r="J65" s="114"/>
      <c r="K65" s="79"/>
      <c r="L65" s="79"/>
      <c r="M65" s="79"/>
      <c r="N65" s="79"/>
      <c r="O65" s="79"/>
      <c r="P65" s="79"/>
      <c r="Q65" s="79"/>
      <c r="R65" s="79"/>
      <c r="S65" s="665"/>
      <c r="T65" s="16"/>
      <c r="U65" s="16"/>
      <c r="V65" s="16"/>
      <c r="W65" s="16"/>
      <c r="X65" s="16"/>
      <c r="Y65" s="16"/>
      <c r="Z65" s="16"/>
      <c r="AA65" s="16"/>
      <c r="AB65" s="79"/>
      <c r="AC65" s="94"/>
      <c r="AD65" s="567"/>
      <c r="AE65" s="117"/>
      <c r="AF65" s="537"/>
      <c r="AG65" s="538"/>
      <c r="AH65" s="573"/>
      <c r="AI65" s="565"/>
      <c r="AJ65" s="574"/>
      <c r="AK65" s="575"/>
      <c r="AL65" s="1158"/>
    </row>
    <row r="66" spans="1:39" ht="13.5" customHeight="1" x14ac:dyDescent="0.25">
      <c r="A66" s="1"/>
      <c r="AC66" s="94"/>
      <c r="AD66" s="1019" t="s">
        <v>86</v>
      </c>
      <c r="AE66" s="1020" t="s">
        <v>400</v>
      </c>
      <c r="AF66" s="1021">
        <v>3.3</v>
      </c>
      <c r="AG66" s="1014">
        <f>IFERROR(HLOOKUP($C$5,'TGL Rails and Iccmax'!$AG$5:$AY$102, MATCH(IF(ISERROR(SEARCH("Dx_",$AD66)),$AD66,REPLACE($AD66,SEARCH("Dx_",$AD66),3,"S_")),Volume_Load_Names,0)+1, FALSE),"N/A")</f>
        <v>1.35E-2</v>
      </c>
      <c r="AH66" s="1057"/>
      <c r="AI66" s="1058"/>
      <c r="AJ66" s="1059"/>
      <c r="AK66" s="1163" t="s">
        <v>400</v>
      </c>
      <c r="AL66" s="1158"/>
    </row>
    <row r="67" spans="1:39" ht="13.5" customHeight="1" x14ac:dyDescent="0.25">
      <c r="AC67" s="94"/>
      <c r="AD67" s="1019" t="s">
        <v>87</v>
      </c>
      <c r="AE67" s="1020" t="s">
        <v>401</v>
      </c>
      <c r="AF67" s="1021">
        <v>1.8</v>
      </c>
      <c r="AG67" s="1014">
        <f>IFERROR(HLOOKUP($C$5,'TGL Rails and Iccmax'!$AG$5:$AY$102, MATCH(IF(ISERROR(SEARCH("Dx_",$AD67)),$AD67,REPLACE($AD67,SEARCH("Dx_",$AD67),3,"S_")),Volume_Load_Names,0)+1, FALSE),"N/A")</f>
        <v>0.67600000000000005</v>
      </c>
      <c r="AH67" s="1057"/>
      <c r="AI67" s="1058"/>
      <c r="AJ67" s="1059"/>
      <c r="AK67" s="1165"/>
      <c r="AL67" s="1158"/>
    </row>
    <row r="68" spans="1:39" ht="13.5" customHeight="1" x14ac:dyDescent="0.25">
      <c r="AD68" s="567"/>
      <c r="AE68" s="117"/>
      <c r="AF68" s="537"/>
      <c r="AG68" s="538"/>
      <c r="AH68" s="573"/>
      <c r="AI68" s="565"/>
      <c r="AJ68" s="574"/>
      <c r="AK68" s="575"/>
      <c r="AL68" s="1158"/>
    </row>
    <row r="69" spans="1:39" ht="13.5" customHeight="1" x14ac:dyDescent="0.25">
      <c r="AD69" s="1019" t="s">
        <v>402</v>
      </c>
      <c r="AE69" s="1063" t="s">
        <v>403</v>
      </c>
      <c r="AF69" s="1021">
        <v>5</v>
      </c>
      <c r="AG69" s="1014">
        <v>2</v>
      </c>
      <c r="AH69" s="1057"/>
      <c r="AI69" s="1058"/>
      <c r="AJ69" s="1059"/>
      <c r="AK69" s="1163" t="s">
        <v>404</v>
      </c>
      <c r="AL69" s="1158"/>
    </row>
    <row r="70" spans="1:39" ht="13.5" customHeight="1" x14ac:dyDescent="0.25">
      <c r="AD70" s="1019" t="s">
        <v>69</v>
      </c>
      <c r="AE70" s="1063" t="s">
        <v>88</v>
      </c>
      <c r="AF70" s="1021">
        <v>5</v>
      </c>
      <c r="AG70" s="1014">
        <f>IFERROR(HLOOKUP($C$5,'TGL Rails and Iccmax'!$AG$5:$AY$102, MATCH(IF(ISERROR(SEARCH("Dx_",$AD70)),$AD70,REPLACE($AD70,SEARCH("Dx_",$AD70),3,"S_")),Volume_Load_Names,0)+1, FALSE),"N/A")</f>
        <v>0.05</v>
      </c>
      <c r="AH70" s="1057"/>
      <c r="AI70" s="1058"/>
      <c r="AJ70" s="1059"/>
      <c r="AK70" s="1164"/>
      <c r="AL70" s="1158"/>
    </row>
    <row r="71" spans="1:39" ht="13.5" customHeight="1" x14ac:dyDescent="0.25">
      <c r="AD71" s="1019" t="s">
        <v>89</v>
      </c>
      <c r="AE71" s="1063" t="s">
        <v>90</v>
      </c>
      <c r="AF71" s="1021">
        <v>3.3</v>
      </c>
      <c r="AG71" s="1014">
        <f>IFERROR(HLOOKUP($C$5,'TGL Rails and Iccmax'!$AG$5:$AY$102, MATCH(IF(ISERROR(SEARCH("Dx_",$AD71)),$AD71,REPLACE($AD71,SEARCH("Dx_",$AD71),3,"S_")),Volume_Load_Names,0)+1, FALSE),"N/A")</f>
        <v>0.5</v>
      </c>
      <c r="AH71" s="1057"/>
      <c r="AI71" s="1058"/>
      <c r="AJ71" s="1059"/>
      <c r="AK71" s="1165"/>
      <c r="AL71" s="1158"/>
    </row>
    <row r="72" spans="1:39" ht="13.5" customHeight="1" x14ac:dyDescent="0.25">
      <c r="AD72" s="567"/>
      <c r="AE72" s="117"/>
      <c r="AF72" s="537"/>
      <c r="AG72" s="538"/>
      <c r="AH72" s="573"/>
      <c r="AI72" s="565"/>
      <c r="AJ72" s="574"/>
      <c r="AK72" s="575"/>
      <c r="AL72" s="1158"/>
    </row>
    <row r="73" spans="1:39" ht="13.5" customHeight="1" x14ac:dyDescent="0.25">
      <c r="AD73" s="1019" t="s">
        <v>405</v>
      </c>
      <c r="AE73" s="1063" t="s">
        <v>92</v>
      </c>
      <c r="AF73" s="1021">
        <v>1.8</v>
      </c>
      <c r="AG73" s="1014">
        <f>IFERROR(HLOOKUP($C$5,'TGL Rails and Iccmax'!$AG$5:$AY$102, MATCH(IF(ISERROR(SEARCH("Dx_",$AD73)),$AD73,REPLACE($AD73,SEARCH("Dx_",$AD73),3,"S_")),Volume_Load_Names,0)+1, FALSE),"N/A")</f>
        <v>0.2</v>
      </c>
      <c r="AH73" s="1057"/>
      <c r="AI73" s="1058"/>
      <c r="AJ73" s="1059"/>
      <c r="AK73" s="1065" t="s">
        <v>292</v>
      </c>
      <c r="AL73" s="1158"/>
    </row>
    <row r="74" spans="1:39" ht="13.5" customHeight="1" x14ac:dyDescent="0.25">
      <c r="AD74" s="576"/>
      <c r="AE74" s="577"/>
      <c r="AF74" s="540"/>
      <c r="AG74" s="541"/>
      <c r="AH74" s="551"/>
      <c r="AI74" s="552"/>
      <c r="AJ74" s="553"/>
      <c r="AK74" s="534"/>
      <c r="AL74" s="1158"/>
    </row>
    <row r="75" spans="1:39" ht="13.5" customHeight="1" x14ac:dyDescent="0.25">
      <c r="AC75" s="94"/>
      <c r="AD75" s="1019" t="s">
        <v>32</v>
      </c>
      <c r="AE75" s="1063" t="s">
        <v>52</v>
      </c>
      <c r="AF75" s="1021">
        <v>1.8</v>
      </c>
      <c r="AG75" s="1014">
        <f>IFERROR(HLOOKUP($C$5,'TGL Rails and Iccmax'!$AG$5:$AY$102, MATCH(IF(ISERROR(SEARCH("Dx_",$AD75)),$AD75,REPLACE($AD75,SEARCH("Dx_",$AD75),3,"S_")),Volume_Load_Names,0)+1, FALSE),"N/A")</f>
        <v>6.3E-3</v>
      </c>
      <c r="AH75" s="1057"/>
      <c r="AI75" s="1058"/>
      <c r="AJ75" s="1059"/>
      <c r="AK75" s="1163" t="s">
        <v>91</v>
      </c>
      <c r="AL75" s="1158"/>
      <c r="AM75" s="79"/>
    </row>
    <row r="76" spans="1:39" ht="13.5" customHeight="1" x14ac:dyDescent="0.25">
      <c r="AD76" s="1019" t="s">
        <v>51</v>
      </c>
      <c r="AE76" s="1063" t="s">
        <v>52</v>
      </c>
      <c r="AF76" s="1021">
        <v>3.3</v>
      </c>
      <c r="AG76" s="1014">
        <f>IFERROR(HLOOKUP($C$5,'TGL Rails and Iccmax'!$AG$5:$AY$102, MATCH(IF(ISERROR(SEARCH("Dx_",$AD76)),$AD76,REPLACE($AD76,SEARCH("Dx_",$AD76),3,"S_")),Volume_Load_Names,0)+1, FALSE),"N/A")</f>
        <v>7.7000000000000002E-3</v>
      </c>
      <c r="AH76" s="1057"/>
      <c r="AI76" s="1058"/>
      <c r="AJ76" s="1059"/>
      <c r="AK76" s="1164"/>
      <c r="AL76" s="1158"/>
      <c r="AM76" s="79"/>
    </row>
    <row r="77" spans="1:39" ht="13.5" customHeight="1" thickBot="1" x14ac:dyDescent="0.3">
      <c r="AD77" s="1073" t="s">
        <v>67</v>
      </c>
      <c r="AE77" s="1074" t="s">
        <v>406</v>
      </c>
      <c r="AF77" s="1075">
        <v>5</v>
      </c>
      <c r="AG77" s="1043">
        <f>IFERROR(HLOOKUP($C$5,'TGL Rails and Iccmax'!$AG$5:$AY$102, MATCH(IF(ISERROR(SEARCH("Dx_",$AD77)),$AD77,REPLACE($AD77,SEARCH("Dx_",$AD77),3,"S_")),Volume_Load_Names,0)+1, FALSE),"N/A")</f>
        <v>0.2</v>
      </c>
      <c r="AH77" s="1076"/>
      <c r="AI77" s="1077"/>
      <c r="AJ77" s="1078"/>
      <c r="AK77" s="1166"/>
      <c r="AL77" s="1162"/>
      <c r="AM77" s="79"/>
    </row>
    <row r="78" spans="1:39" ht="13.5" customHeight="1" x14ac:dyDescent="0.25">
      <c r="AJ78" s="2"/>
      <c r="AL78" s="935"/>
      <c r="AM78" s="79"/>
    </row>
    <row r="79" spans="1:39" ht="13.5" customHeight="1" thickBot="1" x14ac:dyDescent="0.3">
      <c r="AD79" s="578"/>
      <c r="AF79" s="579"/>
      <c r="AG79" s="580"/>
      <c r="AH79" s="581"/>
      <c r="AI79" s="532"/>
      <c r="AJ79" s="562"/>
      <c r="AK79" s="582"/>
      <c r="AL79" s="52"/>
      <c r="AM79" s="79"/>
    </row>
    <row r="80" spans="1:39" ht="14.4" customHeight="1" thickBot="1" x14ac:dyDescent="0.3">
      <c r="AD80" s="1169" t="s">
        <v>407</v>
      </c>
      <c r="AE80" s="1170"/>
      <c r="AF80" s="1170"/>
      <c r="AG80" s="583">
        <f>SUM(AG4:AG77)</f>
        <v>70.244500000000016</v>
      </c>
      <c r="AH80" s="584"/>
      <c r="AI80" s="585"/>
      <c r="AJ80" s="586"/>
      <c r="AK80" s="587"/>
      <c r="AL80" s="52"/>
      <c r="AM80" s="79"/>
    </row>
    <row r="81" spans="29:39" ht="15.9" customHeight="1" x14ac:dyDescent="0.25">
      <c r="AC81" s="94"/>
      <c r="AD81" s="578"/>
      <c r="AF81" s="579"/>
      <c r="AG81" s="580"/>
      <c r="AH81" s="588"/>
      <c r="AI81" s="589"/>
      <c r="AJ81" s="588"/>
      <c r="AK81" s="582"/>
      <c r="AL81" s="52"/>
      <c r="AM81" s="79"/>
    </row>
    <row r="82" spans="29:39" ht="36.9" customHeight="1" x14ac:dyDescent="0.25">
      <c r="AC82" s="3"/>
      <c r="AD82" s="578"/>
      <c r="AF82" s="579"/>
      <c r="AG82" s="580"/>
      <c r="AH82" s="588"/>
      <c r="AI82" s="589"/>
      <c r="AJ82" s="588"/>
      <c r="AK82" s="582"/>
      <c r="AL82" s="52"/>
      <c r="AM82" s="79"/>
    </row>
    <row r="83" spans="29:39" ht="43.5" customHeight="1" x14ac:dyDescent="0.25">
      <c r="AD83" s="578"/>
      <c r="AF83" s="579"/>
      <c r="AG83" s="580"/>
      <c r="AH83" s="588"/>
      <c r="AI83" s="589"/>
      <c r="AJ83" s="588"/>
      <c r="AK83" s="582"/>
      <c r="AL83" s="52"/>
      <c r="AM83" s="79"/>
    </row>
    <row r="84" spans="29:39" ht="14.4" customHeight="1" x14ac:dyDescent="0.25">
      <c r="AD84" s="578"/>
      <c r="AF84" s="579"/>
      <c r="AG84" s="580"/>
      <c r="AH84" s="588"/>
      <c r="AI84" s="589"/>
      <c r="AJ84" s="588"/>
      <c r="AK84" s="582"/>
      <c r="AL84" s="52"/>
      <c r="AM84" s="79"/>
    </row>
    <row r="85" spans="29:39" ht="15" customHeight="1" x14ac:dyDescent="0.25">
      <c r="AD85" s="578"/>
      <c r="AF85" s="579"/>
      <c r="AG85" s="580"/>
      <c r="AH85" s="588"/>
      <c r="AI85" s="589"/>
      <c r="AJ85" s="588"/>
      <c r="AK85" s="582"/>
      <c r="AL85" s="52"/>
      <c r="AM85" s="79"/>
    </row>
    <row r="86" spans="29:39" ht="12" x14ac:dyDescent="0.25">
      <c r="AD86" s="578"/>
      <c r="AF86" s="579"/>
      <c r="AG86" s="580"/>
      <c r="AH86" s="588"/>
      <c r="AI86" s="589"/>
      <c r="AJ86" s="588"/>
      <c r="AK86" s="582"/>
      <c r="AL86" s="52"/>
      <c r="AM86" s="79"/>
    </row>
    <row r="87" spans="29:39" ht="12" x14ac:dyDescent="0.25">
      <c r="AC87" s="94"/>
      <c r="AD87" s="578"/>
      <c r="AF87" s="579"/>
      <c r="AG87" s="580"/>
      <c r="AH87" s="588"/>
      <c r="AI87" s="589"/>
      <c r="AJ87" s="588"/>
      <c r="AK87" s="582"/>
      <c r="AL87" s="52"/>
      <c r="AM87" s="79"/>
    </row>
    <row r="88" spans="29:39" ht="12" x14ac:dyDescent="0.25">
      <c r="AD88" s="578"/>
      <c r="AF88" s="579"/>
      <c r="AG88" s="580"/>
      <c r="AH88" s="588"/>
      <c r="AI88" s="589"/>
      <c r="AJ88" s="588"/>
      <c r="AK88" s="582"/>
      <c r="AL88" s="52"/>
      <c r="AM88" s="79"/>
    </row>
    <row r="89" spans="29:39" ht="12" x14ac:dyDescent="0.25">
      <c r="AD89" s="939"/>
      <c r="AE89" s="79"/>
      <c r="AF89" s="1023"/>
      <c r="AG89" s="1024"/>
      <c r="AH89" s="588"/>
      <c r="AI89" s="589"/>
      <c r="AJ89" s="588"/>
      <c r="AK89" s="582"/>
      <c r="AL89" s="52"/>
      <c r="AM89" s="79"/>
    </row>
    <row r="90" spans="29:39" ht="12" x14ac:dyDescent="0.25">
      <c r="AD90" s="1079"/>
      <c r="AE90" s="1080"/>
      <c r="AF90" s="1081"/>
      <c r="AG90" s="1082"/>
      <c r="AH90" s="1083"/>
      <c r="AI90" s="1083"/>
      <c r="AJ90" s="1083"/>
      <c r="AK90" s="1084"/>
      <c r="AL90" s="52"/>
      <c r="AM90" s="79"/>
    </row>
    <row r="91" spans="29:39" ht="12" x14ac:dyDescent="0.25">
      <c r="AD91" s="1079"/>
      <c r="AE91" s="1080"/>
      <c r="AF91" s="1081"/>
      <c r="AG91" s="1082"/>
      <c r="AH91" s="1083"/>
      <c r="AI91" s="1083"/>
      <c r="AJ91" s="1083"/>
      <c r="AK91" s="1084"/>
      <c r="AL91" s="52"/>
      <c r="AM91" s="79"/>
    </row>
    <row r="92" spans="29:39" ht="12" x14ac:dyDescent="0.25">
      <c r="AD92" s="939"/>
      <c r="AE92" s="79"/>
      <c r="AF92" s="1023"/>
      <c r="AG92" s="1024"/>
      <c r="AH92" s="588"/>
      <c r="AI92" s="589"/>
      <c r="AJ92" s="588"/>
      <c r="AK92" s="582"/>
      <c r="AL92" s="52"/>
      <c r="AM92" s="79"/>
    </row>
    <row r="93" spans="29:39" ht="12" x14ac:dyDescent="0.25">
      <c r="AD93" s="578"/>
      <c r="AF93" s="579"/>
      <c r="AG93" s="580"/>
      <c r="AH93" s="588"/>
      <c r="AI93" s="589"/>
      <c r="AJ93" s="588"/>
      <c r="AK93" s="582"/>
      <c r="AL93" s="52"/>
      <c r="AM93" s="79"/>
    </row>
    <row r="94" spans="29:39" ht="12" x14ac:dyDescent="0.25">
      <c r="AD94" s="578"/>
      <c r="AF94" s="579"/>
      <c r="AG94" s="580"/>
      <c r="AH94" s="588"/>
      <c r="AI94" s="589"/>
      <c r="AJ94" s="588"/>
      <c r="AK94" s="582"/>
      <c r="AL94" s="52"/>
      <c r="AM94" s="79"/>
    </row>
    <row r="95" spans="29:39" ht="12" x14ac:dyDescent="0.25">
      <c r="AC95" s="1"/>
      <c r="AD95" s="578"/>
      <c r="AF95" s="579"/>
      <c r="AG95" s="580"/>
      <c r="AH95" s="588"/>
      <c r="AI95" s="589"/>
      <c r="AJ95" s="588"/>
      <c r="AK95" s="582"/>
      <c r="AL95" s="52"/>
      <c r="AM95" s="79"/>
    </row>
    <row r="96" spans="29:39" ht="12" x14ac:dyDescent="0.25">
      <c r="AC96" s="1"/>
      <c r="AD96" s="578"/>
      <c r="AF96" s="579"/>
      <c r="AG96" s="580"/>
      <c r="AH96" s="588"/>
      <c r="AI96" s="589"/>
      <c r="AJ96" s="588"/>
      <c r="AK96" s="582"/>
      <c r="AL96" s="52"/>
      <c r="AM96" s="79"/>
    </row>
    <row r="97" spans="29:39" ht="12" x14ac:dyDescent="0.25">
      <c r="AC97" s="1"/>
      <c r="AD97" s="578"/>
      <c r="AF97" s="579"/>
      <c r="AG97" s="580"/>
      <c r="AH97" s="588"/>
      <c r="AI97" s="589"/>
      <c r="AJ97" s="588"/>
      <c r="AK97" s="582"/>
      <c r="AL97" s="52"/>
      <c r="AM97" s="79"/>
    </row>
    <row r="98" spans="29:39" ht="12" x14ac:dyDescent="0.25">
      <c r="AC98" s="1"/>
      <c r="AD98" s="578"/>
      <c r="AF98" s="579"/>
      <c r="AG98" s="580"/>
      <c r="AH98" s="588"/>
      <c r="AI98" s="589"/>
      <c r="AJ98" s="588"/>
      <c r="AK98" s="582"/>
      <c r="AL98" s="52"/>
      <c r="AM98" s="79"/>
    </row>
    <row r="99" spans="29:39" ht="12" x14ac:dyDescent="0.25">
      <c r="AC99" s="1"/>
      <c r="AD99" s="578"/>
      <c r="AF99" s="579"/>
      <c r="AG99" s="580"/>
      <c r="AH99" s="588"/>
      <c r="AI99" s="589"/>
      <c r="AJ99" s="588"/>
      <c r="AK99" s="582"/>
      <c r="AL99" s="52"/>
      <c r="AM99" s="79"/>
    </row>
    <row r="100" spans="29:39" ht="12" x14ac:dyDescent="0.25">
      <c r="AC100" s="1"/>
      <c r="AD100" s="578"/>
      <c r="AF100" s="579"/>
      <c r="AG100" s="580"/>
      <c r="AH100" s="588"/>
      <c r="AI100" s="589"/>
      <c r="AJ100" s="588"/>
      <c r="AK100" s="582"/>
      <c r="AL100" s="52"/>
      <c r="AM100" s="79"/>
    </row>
    <row r="101" spans="29:39" ht="12" x14ac:dyDescent="0.25">
      <c r="AD101" s="578"/>
      <c r="AF101" s="579"/>
      <c r="AG101" s="580"/>
      <c r="AH101" s="588"/>
      <c r="AI101" s="589"/>
      <c r="AJ101" s="588"/>
      <c r="AK101" s="582"/>
      <c r="AL101" s="52"/>
      <c r="AM101" s="79"/>
    </row>
    <row r="102" spans="29:39" ht="12" x14ac:dyDescent="0.25">
      <c r="AD102" s="578"/>
      <c r="AF102" s="579"/>
      <c r="AG102" s="580"/>
      <c r="AH102" s="588"/>
      <c r="AI102" s="589"/>
      <c r="AJ102" s="588"/>
      <c r="AK102" s="582"/>
      <c r="AL102" s="52"/>
      <c r="AM102" s="79"/>
    </row>
    <row r="103" spans="29:39" ht="12" x14ac:dyDescent="0.25">
      <c r="AD103" s="578"/>
      <c r="AF103" s="579"/>
      <c r="AG103" s="580"/>
      <c r="AH103" s="588"/>
      <c r="AI103" s="589"/>
      <c r="AJ103" s="588"/>
      <c r="AK103" s="582"/>
      <c r="AL103" s="52"/>
      <c r="AM103" s="79"/>
    </row>
    <row r="104" spans="29:39" ht="12" x14ac:dyDescent="0.25">
      <c r="AD104" s="578"/>
      <c r="AF104" s="579"/>
      <c r="AG104" s="580"/>
      <c r="AH104" s="588"/>
      <c r="AI104" s="589"/>
      <c r="AJ104" s="588"/>
      <c r="AK104" s="582"/>
      <c r="AL104" s="52"/>
      <c r="AM104" s="79"/>
    </row>
    <row r="105" spans="29:39" ht="12" x14ac:dyDescent="0.25">
      <c r="AC105" s="1"/>
      <c r="AD105" s="578"/>
      <c r="AF105" s="579"/>
      <c r="AG105" s="580"/>
      <c r="AH105" s="588"/>
      <c r="AI105" s="589"/>
      <c r="AJ105" s="588"/>
      <c r="AK105" s="582"/>
      <c r="AL105" s="52"/>
      <c r="AM105" s="79"/>
    </row>
    <row r="106" spans="29:39" ht="12" x14ac:dyDescent="0.25">
      <c r="AC106" s="94"/>
      <c r="AD106" s="578"/>
      <c r="AF106" s="579"/>
      <c r="AG106" s="580"/>
      <c r="AH106" s="588"/>
      <c r="AI106" s="589"/>
      <c r="AJ106" s="588"/>
      <c r="AK106" s="582"/>
      <c r="AL106" s="52"/>
    </row>
    <row r="107" spans="29:39" ht="12" x14ac:dyDescent="0.25">
      <c r="AC107" s="94"/>
      <c r="AD107" s="578"/>
      <c r="AF107" s="579"/>
      <c r="AG107" s="580"/>
      <c r="AH107" s="588"/>
      <c r="AI107" s="589"/>
      <c r="AJ107" s="588"/>
      <c r="AK107" s="582"/>
      <c r="AL107" s="52"/>
    </row>
    <row r="108" spans="29:39" ht="12" x14ac:dyDescent="0.25">
      <c r="AC108" s="94"/>
      <c r="AD108" s="578"/>
      <c r="AF108" s="579"/>
      <c r="AG108" s="580"/>
      <c r="AH108" s="588"/>
      <c r="AI108" s="589"/>
      <c r="AJ108" s="588"/>
      <c r="AK108" s="582"/>
      <c r="AL108" s="52"/>
    </row>
    <row r="109" spans="29:39" ht="12" x14ac:dyDescent="0.25">
      <c r="AC109" s="94"/>
      <c r="AD109" s="79"/>
      <c r="AE109" s="79"/>
      <c r="AF109" s="79"/>
      <c r="AG109" s="79"/>
      <c r="AH109" s="79"/>
      <c r="AI109" s="79"/>
      <c r="AJ109" s="52"/>
      <c r="AK109" s="79"/>
      <c r="AL109" s="52"/>
    </row>
    <row r="110" spans="29:39" ht="12" x14ac:dyDescent="0.25">
      <c r="AC110" s="1"/>
      <c r="AH110" s="79"/>
      <c r="AI110" s="79"/>
      <c r="AJ110" s="52"/>
      <c r="AK110" s="79"/>
    </row>
    <row r="111" spans="29:39" ht="12" x14ac:dyDescent="0.25">
      <c r="AC111" s="94"/>
      <c r="AH111" s="79"/>
      <c r="AI111" s="79"/>
      <c r="AJ111" s="52"/>
      <c r="AK111" s="79"/>
    </row>
    <row r="112" spans="29:39" ht="12" x14ac:dyDescent="0.25">
      <c r="AC112" s="94"/>
      <c r="AH112" s="79"/>
      <c r="AI112" s="79"/>
      <c r="AJ112" s="52"/>
      <c r="AK112" s="79"/>
    </row>
    <row r="113" spans="29:37" ht="12" x14ac:dyDescent="0.25">
      <c r="AC113" s="94"/>
      <c r="AH113" s="79"/>
      <c r="AI113" s="79"/>
      <c r="AJ113" s="52"/>
      <c r="AK113" s="79"/>
    </row>
    <row r="114" spans="29:37" ht="12" x14ac:dyDescent="0.25">
      <c r="AC114" s="94"/>
      <c r="AH114" s="79"/>
      <c r="AI114" s="79"/>
      <c r="AJ114" s="52"/>
      <c r="AK114" s="79"/>
    </row>
    <row r="115" spans="29:37" ht="12" x14ac:dyDescent="0.25">
      <c r="AC115" s="1"/>
      <c r="AH115" s="79"/>
      <c r="AI115" s="79"/>
      <c r="AJ115" s="52"/>
      <c r="AK115" s="79"/>
    </row>
    <row r="116" spans="29:37" ht="12" x14ac:dyDescent="0.25">
      <c r="AC116" s="94"/>
      <c r="AH116" s="79"/>
      <c r="AI116" s="79"/>
      <c r="AJ116" s="52"/>
      <c r="AK116" s="79"/>
    </row>
    <row r="117" spans="29:37" ht="12" x14ac:dyDescent="0.25">
      <c r="AC117" s="94"/>
      <c r="AH117" s="79"/>
      <c r="AI117" s="79"/>
      <c r="AJ117" s="52"/>
    </row>
    <row r="118" spans="29:37" ht="12" x14ac:dyDescent="0.25">
      <c r="AC118" s="94"/>
      <c r="AH118" s="79"/>
      <c r="AI118" s="79"/>
      <c r="AJ118" s="52"/>
    </row>
    <row r="119" spans="29:37" ht="12" x14ac:dyDescent="0.25">
      <c r="AC119" s="94"/>
      <c r="AH119" s="79"/>
      <c r="AI119" s="79"/>
      <c r="AJ119" s="52"/>
    </row>
    <row r="120" spans="29:37" ht="12" x14ac:dyDescent="0.25">
      <c r="AC120" s="94"/>
      <c r="AH120" s="79"/>
      <c r="AI120" s="79"/>
      <c r="AJ120" s="52"/>
    </row>
    <row r="121" spans="29:37" ht="12" x14ac:dyDescent="0.25">
      <c r="AH121" s="79"/>
      <c r="AI121" s="79"/>
      <c r="AJ121" s="52"/>
    </row>
    <row r="122" spans="29:37" ht="12" x14ac:dyDescent="0.25">
      <c r="AH122" s="79"/>
      <c r="AI122" s="79"/>
      <c r="AJ122" s="52"/>
    </row>
    <row r="123" spans="29:37" ht="12" x14ac:dyDescent="0.25">
      <c r="AH123" s="79"/>
      <c r="AI123" s="79"/>
      <c r="AJ123" s="52"/>
    </row>
    <row r="124" spans="29:37" ht="12" x14ac:dyDescent="0.25">
      <c r="AH124" s="79"/>
      <c r="AI124" s="79"/>
      <c r="AJ124" s="52"/>
    </row>
    <row r="125" spans="29:37" ht="12" x14ac:dyDescent="0.25">
      <c r="AH125" s="79"/>
      <c r="AI125" s="79"/>
      <c r="AJ125" s="52"/>
    </row>
    <row r="126" spans="29:37" ht="12" x14ac:dyDescent="0.25">
      <c r="AH126" s="79"/>
      <c r="AI126" s="79"/>
      <c r="AJ126" s="124"/>
    </row>
    <row r="127" spans="29:37" ht="12" x14ac:dyDescent="0.25">
      <c r="AH127" s="79"/>
      <c r="AI127" s="79"/>
      <c r="AJ127" s="124"/>
    </row>
    <row r="128" spans="29:37" ht="12" x14ac:dyDescent="0.25">
      <c r="AH128" s="79"/>
      <c r="AI128" s="79"/>
      <c r="AJ128" s="124"/>
    </row>
    <row r="129" spans="30:45" ht="12" x14ac:dyDescent="0.25">
      <c r="AJ129" s="124"/>
    </row>
    <row r="130" spans="30:45" ht="12" x14ac:dyDescent="0.25">
      <c r="AJ130" s="124"/>
    </row>
    <row r="131" spans="30:45" ht="12" x14ac:dyDescent="0.25">
      <c r="AJ131" s="124"/>
    </row>
    <row r="132" spans="30:45" x14ac:dyDescent="0.3">
      <c r="AJ132" s="125"/>
    </row>
    <row r="135" spans="30:45" x14ac:dyDescent="0.3">
      <c r="AD135" s="578"/>
    </row>
    <row r="136" spans="30:45" x14ac:dyDescent="0.3">
      <c r="AK136" s="79"/>
    </row>
    <row r="137" spans="30:45" x14ac:dyDescent="0.3">
      <c r="AK137" s="103"/>
    </row>
    <row r="138" spans="30:45" x14ac:dyDescent="0.3">
      <c r="AK138" s="103"/>
    </row>
    <row r="139" spans="30:45" x14ac:dyDescent="0.3">
      <c r="AK139" s="79"/>
      <c r="AL139" s="79"/>
    </row>
    <row r="140" spans="30:45" x14ac:dyDescent="0.3">
      <c r="AD140" s="79"/>
      <c r="AE140" s="79"/>
      <c r="AF140" s="79"/>
      <c r="AG140" s="79"/>
      <c r="AH140" s="79"/>
      <c r="AI140" s="79"/>
      <c r="AL140" s="103"/>
    </row>
    <row r="141" spans="30:45" x14ac:dyDescent="0.3">
      <c r="AD141" s="79"/>
      <c r="AE141" s="79"/>
      <c r="AF141" s="79"/>
      <c r="AG141" s="79"/>
      <c r="AH141" s="79"/>
      <c r="AI141" s="79"/>
      <c r="AL141" s="103"/>
    </row>
    <row r="142" spans="30:45" x14ac:dyDescent="0.3">
      <c r="AD142" s="79"/>
      <c r="AE142" s="79"/>
      <c r="AF142" s="79"/>
      <c r="AG142" s="79"/>
      <c r="AH142" s="79"/>
      <c r="AI142" s="79"/>
      <c r="AL142" s="79"/>
    </row>
    <row r="143" spans="30:45" x14ac:dyDescent="0.3">
      <c r="AD143" s="79"/>
      <c r="AE143" s="79"/>
      <c r="AF143" s="79"/>
      <c r="AG143" s="79"/>
      <c r="AH143" s="79"/>
      <c r="AI143" s="79"/>
      <c r="AJ143" s="125"/>
    </row>
    <row r="144" spans="30:45" x14ac:dyDescent="0.25">
      <c r="AD144" s="1085"/>
      <c r="AE144" s="1086"/>
      <c r="AF144" s="1086"/>
      <c r="AG144" s="1087"/>
      <c r="AH144" s="1088"/>
      <c r="AI144" s="1088"/>
      <c r="AJ144" s="1089"/>
      <c r="AM144" s="79"/>
      <c r="AN144" s="79"/>
      <c r="AO144" s="79"/>
      <c r="AP144" s="79"/>
      <c r="AQ144" s="79"/>
      <c r="AR144" s="79"/>
      <c r="AS144" s="79"/>
    </row>
    <row r="145" spans="28:45" x14ac:dyDescent="0.25">
      <c r="AD145" s="1090"/>
      <c r="AE145" s="1091"/>
      <c r="AF145" s="1091"/>
      <c r="AG145" s="1092"/>
      <c r="AH145" s="1092"/>
      <c r="AI145" s="1092"/>
      <c r="AJ145" s="1089"/>
      <c r="AM145" s="103"/>
      <c r="AN145" s="103"/>
      <c r="AO145" s="103"/>
      <c r="AP145" s="103"/>
      <c r="AQ145" s="1080"/>
      <c r="AR145" s="1080"/>
      <c r="AS145" s="1093"/>
    </row>
    <row r="146" spans="28:45" x14ac:dyDescent="0.3">
      <c r="AD146" s="1085"/>
      <c r="AE146" s="1086"/>
      <c r="AF146" s="1086"/>
      <c r="AG146" s="1087"/>
      <c r="AH146" s="1088"/>
      <c r="AI146" s="1088"/>
      <c r="AJ146" s="125"/>
      <c r="AM146" s="103"/>
      <c r="AN146" s="103"/>
      <c r="AO146" s="103"/>
      <c r="AP146" s="103"/>
      <c r="AQ146" s="1080"/>
      <c r="AR146" s="1080"/>
      <c r="AS146" s="1093"/>
    </row>
    <row r="147" spans="28:45" x14ac:dyDescent="0.3">
      <c r="AD147" s="1090"/>
      <c r="AE147" s="1091"/>
      <c r="AF147" s="1091"/>
      <c r="AG147" s="1092"/>
      <c r="AH147" s="1092"/>
      <c r="AI147" s="1092"/>
      <c r="AM147" s="79"/>
      <c r="AN147" s="79"/>
      <c r="AO147" s="79"/>
      <c r="AP147" s="79"/>
      <c r="AQ147" s="79"/>
      <c r="AR147" s="79"/>
      <c r="AS147" s="79"/>
    </row>
    <row r="148" spans="28:45" x14ac:dyDescent="0.3">
      <c r="AB148" s="94"/>
      <c r="AD148" s="1085"/>
      <c r="AE148" s="1086"/>
      <c r="AF148" s="1086"/>
      <c r="AG148" s="1087"/>
      <c r="AH148" s="1088"/>
      <c r="AI148" s="1088"/>
    </row>
    <row r="149" spans="28:45" x14ac:dyDescent="0.3">
      <c r="AB149" s="94"/>
      <c r="AD149" s="114"/>
      <c r="AE149" s="114"/>
      <c r="AF149" s="114"/>
      <c r="AG149" s="1094"/>
      <c r="AH149" s="1094"/>
      <c r="AI149" s="1094"/>
    </row>
    <row r="150" spans="28:45" x14ac:dyDescent="0.3">
      <c r="AB150" s="94"/>
      <c r="AD150" s="114"/>
      <c r="AE150" s="114"/>
      <c r="AF150" s="114"/>
      <c r="AG150" s="1094"/>
      <c r="AH150" s="1094"/>
      <c r="AI150" s="1094"/>
      <c r="AJ150" s="1095"/>
    </row>
    <row r="151" spans="28:45" x14ac:dyDescent="0.3">
      <c r="AB151" s="94"/>
      <c r="AC151" s="94"/>
      <c r="AD151" s="114"/>
      <c r="AE151" s="114"/>
      <c r="AF151" s="114"/>
      <c r="AG151" s="1094"/>
      <c r="AH151" s="1094"/>
      <c r="AI151" s="1094"/>
      <c r="AJ151" s="1095"/>
    </row>
    <row r="152" spans="28:45" x14ac:dyDescent="0.3">
      <c r="AB152" s="94"/>
      <c r="AC152" s="94"/>
      <c r="AD152" s="79"/>
      <c r="AE152" s="79"/>
      <c r="AF152" s="79"/>
      <c r="AG152" s="79"/>
      <c r="AH152" s="79"/>
      <c r="AI152" s="79"/>
      <c r="AJ152" s="1095"/>
    </row>
    <row r="153" spans="28:45" x14ac:dyDescent="0.3">
      <c r="AB153" s="94"/>
      <c r="AC153" s="94"/>
      <c r="AD153" s="1085"/>
      <c r="AE153" s="1096"/>
      <c r="AF153" s="1096"/>
      <c r="AG153" s="1092"/>
      <c r="AH153" s="1092"/>
      <c r="AI153" s="1092"/>
      <c r="AJ153" s="1095"/>
    </row>
    <row r="154" spans="28:45" x14ac:dyDescent="0.3">
      <c r="AB154" s="94"/>
      <c r="AC154" s="94"/>
      <c r="AD154" s="79"/>
      <c r="AE154" s="79"/>
      <c r="AF154" s="79"/>
      <c r="AG154" s="79"/>
      <c r="AH154" s="79"/>
      <c r="AI154" s="79"/>
      <c r="AJ154" s="1095"/>
    </row>
    <row r="155" spans="28:45" x14ac:dyDescent="0.3">
      <c r="AC155" s="94"/>
      <c r="AD155" s="1085"/>
      <c r="AE155" s="1096"/>
      <c r="AF155" s="1096"/>
      <c r="AG155" s="1092"/>
      <c r="AH155" s="1092"/>
      <c r="AI155" s="1092"/>
      <c r="AJ155" s="1095"/>
    </row>
    <row r="156" spans="28:45" x14ac:dyDescent="0.3">
      <c r="AC156" s="94"/>
      <c r="AD156" s="79"/>
      <c r="AE156" s="79"/>
      <c r="AF156" s="79"/>
      <c r="AG156" s="79"/>
      <c r="AH156" s="79"/>
      <c r="AI156" s="79"/>
      <c r="AJ156" s="1095"/>
    </row>
    <row r="157" spans="28:45" x14ac:dyDescent="0.3">
      <c r="AC157" s="94"/>
      <c r="AD157" s="1090"/>
      <c r="AE157" s="1091"/>
      <c r="AF157" s="1091"/>
      <c r="AG157" s="1092"/>
      <c r="AH157" s="1092"/>
      <c r="AI157" s="1092"/>
    </row>
    <row r="158" spans="28:45" x14ac:dyDescent="0.3">
      <c r="AD158" s="1097"/>
      <c r="AE158" s="1098"/>
      <c r="AF158" s="1098"/>
      <c r="AG158" s="1099"/>
      <c r="AH158" s="1100"/>
      <c r="AI158" s="1100"/>
    </row>
    <row r="159" spans="28:45" x14ac:dyDescent="0.3">
      <c r="AD159" s="1090"/>
      <c r="AE159" s="1091"/>
      <c r="AF159" s="1091"/>
      <c r="AG159" s="1092"/>
      <c r="AH159" s="1092"/>
      <c r="AI159" s="1092"/>
    </row>
    <row r="160" spans="28:45" x14ac:dyDescent="0.3">
      <c r="AD160" s="79"/>
      <c r="AE160" s="79"/>
      <c r="AF160" s="79"/>
      <c r="AG160" s="79"/>
      <c r="AH160" s="79"/>
      <c r="AI160" s="79"/>
    </row>
    <row r="161" spans="28:43" x14ac:dyDescent="0.3">
      <c r="AD161" s="79"/>
      <c r="AE161" s="79"/>
      <c r="AF161" s="79"/>
      <c r="AG161" s="79"/>
      <c r="AH161" s="79"/>
      <c r="AI161" s="79"/>
    </row>
    <row r="162" spans="28:43" x14ac:dyDescent="0.3">
      <c r="AD162" s="79"/>
      <c r="AE162" s="79"/>
      <c r="AF162" s="79"/>
      <c r="AG162" s="79"/>
      <c r="AH162" s="79"/>
      <c r="AI162" s="79"/>
    </row>
    <row r="163" spans="28:43" x14ac:dyDescent="0.3">
      <c r="AD163" s="79"/>
      <c r="AE163" s="79"/>
      <c r="AF163" s="79"/>
      <c r="AG163" s="79"/>
      <c r="AH163" s="79"/>
      <c r="AI163" s="79"/>
    </row>
    <row r="164" spans="28:43" x14ac:dyDescent="0.3">
      <c r="AD164" s="79"/>
      <c r="AE164" s="79"/>
      <c r="AF164" s="79"/>
      <c r="AG164" s="79"/>
      <c r="AH164" s="79"/>
      <c r="AI164" s="79"/>
    </row>
    <row r="165" spans="28:43" x14ac:dyDescent="0.3">
      <c r="AD165" s="79"/>
      <c r="AE165" s="79"/>
      <c r="AF165" s="79"/>
      <c r="AG165" s="79"/>
      <c r="AH165" s="79"/>
      <c r="AI165" s="79"/>
    </row>
    <row r="166" spans="28:43" x14ac:dyDescent="0.3">
      <c r="AD166" s="79"/>
      <c r="AE166" s="79"/>
      <c r="AF166" s="79"/>
      <c r="AG166" s="79"/>
      <c r="AH166" s="79"/>
      <c r="AI166" s="79"/>
    </row>
    <row r="167" spans="28:43" x14ac:dyDescent="0.3">
      <c r="AD167" s="79"/>
      <c r="AE167" s="79"/>
      <c r="AF167" s="79"/>
      <c r="AG167" s="79"/>
      <c r="AH167" s="79"/>
      <c r="AI167" s="79"/>
    </row>
    <row r="168" spans="28:43" x14ac:dyDescent="0.3">
      <c r="AD168" s="79"/>
      <c r="AE168" s="79"/>
      <c r="AF168" s="79"/>
      <c r="AG168" s="79"/>
      <c r="AH168" s="79"/>
      <c r="AI168" s="79"/>
      <c r="AK168" s="79"/>
    </row>
    <row r="169" spans="28:43" x14ac:dyDescent="0.3">
      <c r="AD169" s="79"/>
      <c r="AE169" s="79"/>
      <c r="AF169" s="79"/>
      <c r="AG169" s="79"/>
      <c r="AH169" s="79"/>
      <c r="AI169" s="79"/>
      <c r="AK169" s="79"/>
    </row>
    <row r="170" spans="28:43" x14ac:dyDescent="0.3">
      <c r="AD170" s="79"/>
      <c r="AE170" s="79"/>
      <c r="AF170" s="79"/>
      <c r="AG170" s="79"/>
      <c r="AH170" s="79"/>
      <c r="AI170" s="79"/>
      <c r="AK170" s="79"/>
    </row>
    <row r="171" spans="28:43" x14ac:dyDescent="0.3">
      <c r="AD171" s="79"/>
      <c r="AE171" s="79"/>
      <c r="AF171" s="79"/>
      <c r="AG171" s="79"/>
      <c r="AH171" s="79"/>
      <c r="AI171" s="79"/>
      <c r="AK171" s="79"/>
      <c r="AL171" s="79"/>
    </row>
    <row r="172" spans="28:43" x14ac:dyDescent="0.3">
      <c r="AD172" s="79"/>
      <c r="AE172" s="79"/>
      <c r="AF172" s="79"/>
      <c r="AG172" s="79"/>
      <c r="AH172" s="79"/>
      <c r="AI172" s="79"/>
      <c r="AK172" s="79"/>
      <c r="AL172" s="79"/>
    </row>
    <row r="173" spans="28:43" x14ac:dyDescent="0.3">
      <c r="AB173" s="79"/>
      <c r="AD173" s="79"/>
      <c r="AE173" s="79"/>
      <c r="AF173" s="79"/>
      <c r="AG173" s="79"/>
      <c r="AH173" s="79"/>
      <c r="AI173" s="79"/>
      <c r="AK173" s="79"/>
      <c r="AL173" s="79"/>
    </row>
    <row r="174" spans="28:43" x14ac:dyDescent="0.3">
      <c r="AB174" s="79"/>
      <c r="AD174" s="79"/>
      <c r="AE174" s="79"/>
      <c r="AF174" s="79"/>
      <c r="AG174" s="79"/>
      <c r="AH174" s="79"/>
      <c r="AI174" s="79"/>
      <c r="AK174" s="79"/>
      <c r="AL174" s="79"/>
    </row>
    <row r="175" spans="28:43" x14ac:dyDescent="0.3">
      <c r="AB175" s="79"/>
      <c r="AD175" s="79"/>
      <c r="AE175" s="79"/>
      <c r="AF175" s="79"/>
      <c r="AG175" s="79"/>
      <c r="AH175" s="79"/>
      <c r="AI175" s="79"/>
      <c r="AJ175" s="125"/>
      <c r="AK175" s="79"/>
      <c r="AL175" s="79"/>
    </row>
    <row r="176" spans="28:43" x14ac:dyDescent="0.3">
      <c r="AB176" s="79"/>
      <c r="AC176" s="79"/>
      <c r="AD176" s="79"/>
      <c r="AE176" s="79"/>
      <c r="AF176" s="79"/>
      <c r="AG176" s="79"/>
      <c r="AH176" s="79"/>
      <c r="AI176" s="79"/>
      <c r="AJ176" s="125"/>
      <c r="AK176" s="79"/>
      <c r="AL176" s="79"/>
      <c r="AM176" s="79"/>
      <c r="AN176" s="79"/>
      <c r="AO176" s="79"/>
      <c r="AP176" s="79"/>
      <c r="AQ176" s="79"/>
    </row>
    <row r="177" spans="28:43" x14ac:dyDescent="0.3">
      <c r="AB177" s="79"/>
      <c r="AC177" s="79"/>
      <c r="AD177" s="79"/>
      <c r="AE177" s="79"/>
      <c r="AF177" s="79"/>
      <c r="AG177" s="79"/>
      <c r="AH177" s="79"/>
      <c r="AI177" s="79"/>
      <c r="AJ177" s="125"/>
      <c r="AK177" s="79"/>
      <c r="AL177" s="79"/>
      <c r="AM177" s="79"/>
      <c r="AN177" s="79"/>
      <c r="AO177" s="79"/>
      <c r="AP177" s="79"/>
      <c r="AQ177" s="79"/>
    </row>
    <row r="178" spans="28:43" x14ac:dyDescent="0.3">
      <c r="AB178" s="79"/>
      <c r="AC178" s="79"/>
      <c r="AD178" s="79"/>
      <c r="AE178" s="79"/>
      <c r="AF178" s="79"/>
      <c r="AG178" s="79"/>
      <c r="AH178" s="79"/>
      <c r="AI178" s="79"/>
      <c r="AJ178" s="125"/>
      <c r="AK178" s="79"/>
      <c r="AL178" s="79"/>
      <c r="AM178" s="79"/>
      <c r="AN178" s="79"/>
      <c r="AO178" s="79"/>
      <c r="AP178" s="79"/>
      <c r="AQ178" s="79"/>
    </row>
    <row r="179" spans="28:43" x14ac:dyDescent="0.3">
      <c r="AB179" s="79"/>
      <c r="AC179" s="79"/>
      <c r="AD179" s="79"/>
      <c r="AE179" s="79"/>
      <c r="AF179" s="79"/>
      <c r="AG179" s="79"/>
      <c r="AH179" s="79"/>
      <c r="AI179" s="79"/>
      <c r="AJ179" s="125"/>
      <c r="AK179" s="79"/>
      <c r="AL179" s="79"/>
      <c r="AM179" s="79"/>
      <c r="AN179" s="79"/>
      <c r="AO179" s="79"/>
      <c r="AP179" s="79"/>
      <c r="AQ179" s="79"/>
    </row>
    <row r="180" spans="28:43" x14ac:dyDescent="0.3">
      <c r="AB180" s="79"/>
      <c r="AC180" s="79"/>
      <c r="AD180" s="79"/>
      <c r="AE180" s="79"/>
      <c r="AF180" s="79"/>
      <c r="AG180" s="79"/>
      <c r="AH180" s="79"/>
      <c r="AI180" s="79"/>
      <c r="AJ180" s="125"/>
      <c r="AK180" s="79"/>
      <c r="AL180" s="79"/>
      <c r="AM180" s="79"/>
      <c r="AN180" s="79"/>
      <c r="AO180" s="79"/>
      <c r="AP180" s="79"/>
      <c r="AQ180" s="79"/>
    </row>
    <row r="181" spans="28:43" x14ac:dyDescent="0.3">
      <c r="AB181" s="79"/>
      <c r="AC181" s="79"/>
      <c r="AD181" s="79"/>
      <c r="AE181" s="79"/>
      <c r="AF181" s="79"/>
      <c r="AG181" s="79"/>
      <c r="AH181" s="79"/>
      <c r="AI181" s="79"/>
      <c r="AJ181" s="125"/>
      <c r="AK181" s="79"/>
      <c r="AL181" s="79"/>
      <c r="AM181" s="79"/>
      <c r="AN181" s="79"/>
      <c r="AO181" s="79"/>
      <c r="AP181" s="79"/>
      <c r="AQ181" s="79"/>
    </row>
    <row r="182" spans="28:43" x14ac:dyDescent="0.3">
      <c r="AB182" s="79"/>
      <c r="AC182" s="79"/>
      <c r="AD182" s="79"/>
      <c r="AE182" s="79"/>
      <c r="AF182" s="79"/>
      <c r="AG182" s="79"/>
      <c r="AH182" s="79"/>
      <c r="AI182" s="79"/>
      <c r="AJ182" s="125"/>
      <c r="AK182" s="79"/>
      <c r="AL182" s="79"/>
      <c r="AM182" s="79"/>
      <c r="AN182" s="79"/>
      <c r="AO182" s="79"/>
      <c r="AP182" s="79"/>
      <c r="AQ182" s="79"/>
    </row>
    <row r="183" spans="28:43" x14ac:dyDescent="0.3">
      <c r="AB183" s="79"/>
      <c r="AC183" s="79"/>
      <c r="AD183" s="79"/>
      <c r="AE183" s="79"/>
      <c r="AF183" s="79"/>
      <c r="AG183" s="79"/>
      <c r="AH183" s="79"/>
      <c r="AI183" s="79"/>
      <c r="AJ183" s="125"/>
      <c r="AK183" s="79"/>
      <c r="AL183" s="79"/>
      <c r="AM183" s="79"/>
      <c r="AN183" s="79"/>
      <c r="AO183" s="79"/>
      <c r="AP183" s="79"/>
      <c r="AQ183" s="79"/>
    </row>
    <row r="184" spans="28:43" x14ac:dyDescent="0.3">
      <c r="AB184" s="79"/>
      <c r="AC184" s="79"/>
      <c r="AD184" s="79"/>
      <c r="AE184" s="79"/>
      <c r="AF184" s="79"/>
      <c r="AG184" s="79"/>
      <c r="AH184" s="79"/>
      <c r="AI184" s="79"/>
      <c r="AJ184" s="125"/>
      <c r="AK184" s="79"/>
      <c r="AL184" s="79"/>
      <c r="AM184" s="79"/>
      <c r="AN184" s="79"/>
      <c r="AO184" s="79"/>
      <c r="AP184" s="79"/>
      <c r="AQ184" s="79"/>
    </row>
    <row r="185" spans="28:43" x14ac:dyDescent="0.3">
      <c r="AB185" s="79"/>
      <c r="AC185" s="79"/>
      <c r="AD185" s="79"/>
      <c r="AE185" s="79"/>
      <c r="AF185" s="79"/>
      <c r="AG185" s="79"/>
      <c r="AH185" s="79"/>
      <c r="AI185" s="79"/>
      <c r="AJ185" s="125"/>
      <c r="AK185" s="79"/>
      <c r="AL185" s="79"/>
      <c r="AM185" s="79"/>
      <c r="AN185" s="79"/>
      <c r="AO185" s="79"/>
      <c r="AP185" s="79"/>
      <c r="AQ185" s="79"/>
    </row>
    <row r="186" spans="28:43" x14ac:dyDescent="0.3">
      <c r="AB186" s="79"/>
      <c r="AC186" s="79"/>
      <c r="AD186" s="79"/>
      <c r="AE186" s="79"/>
      <c r="AF186" s="79"/>
      <c r="AG186" s="79"/>
      <c r="AH186" s="79"/>
      <c r="AI186" s="79"/>
      <c r="AJ186" s="125"/>
      <c r="AK186" s="79"/>
      <c r="AL186" s="79"/>
      <c r="AM186" s="79"/>
      <c r="AN186" s="79"/>
      <c r="AO186" s="79"/>
      <c r="AP186" s="79"/>
      <c r="AQ186" s="79"/>
    </row>
    <row r="187" spans="28:43" x14ac:dyDescent="0.3">
      <c r="AB187" s="79"/>
      <c r="AC187" s="79"/>
      <c r="AD187" s="79"/>
      <c r="AE187" s="79"/>
      <c r="AF187" s="79"/>
      <c r="AG187" s="79"/>
      <c r="AH187" s="79"/>
      <c r="AI187" s="79"/>
      <c r="AJ187" s="125"/>
      <c r="AK187" s="79"/>
      <c r="AL187" s="79"/>
      <c r="AM187" s="79"/>
      <c r="AN187" s="79"/>
      <c r="AO187" s="79"/>
      <c r="AP187" s="79"/>
      <c r="AQ187" s="79"/>
    </row>
    <row r="188" spans="28:43" x14ac:dyDescent="0.3">
      <c r="AB188" s="79"/>
      <c r="AC188" s="79"/>
      <c r="AD188" s="79"/>
      <c r="AE188" s="79"/>
      <c r="AF188" s="79"/>
      <c r="AG188" s="79"/>
      <c r="AH188" s="79"/>
      <c r="AI188" s="79"/>
      <c r="AJ188" s="125"/>
      <c r="AK188" s="79"/>
      <c r="AL188" s="79"/>
      <c r="AM188" s="79"/>
      <c r="AN188" s="79"/>
      <c r="AO188" s="79"/>
      <c r="AP188" s="79"/>
      <c r="AQ188" s="79"/>
    </row>
    <row r="189" spans="28:43" x14ac:dyDescent="0.3">
      <c r="AB189" s="79"/>
      <c r="AC189" s="79"/>
      <c r="AD189" s="79"/>
      <c r="AE189" s="79"/>
      <c r="AF189" s="79"/>
      <c r="AG189" s="79"/>
      <c r="AH189" s="79"/>
      <c r="AI189" s="79"/>
      <c r="AJ189" s="125"/>
      <c r="AK189" s="79"/>
      <c r="AL189" s="79"/>
      <c r="AM189" s="79"/>
      <c r="AN189" s="79"/>
      <c r="AO189" s="79"/>
      <c r="AP189" s="79"/>
      <c r="AQ189" s="79"/>
    </row>
    <row r="190" spans="28:43" x14ac:dyDescent="0.3">
      <c r="AB190" s="79"/>
      <c r="AC190" s="79"/>
      <c r="AD190" s="79"/>
      <c r="AE190" s="79"/>
      <c r="AF190" s="79"/>
      <c r="AG190" s="79"/>
      <c r="AH190" s="79"/>
      <c r="AI190" s="79"/>
      <c r="AJ190" s="125"/>
      <c r="AK190" s="79"/>
      <c r="AL190" s="79"/>
      <c r="AM190" s="79"/>
      <c r="AN190" s="79"/>
      <c r="AO190" s="79"/>
      <c r="AP190" s="79"/>
      <c r="AQ190" s="79"/>
    </row>
    <row r="191" spans="28:43" x14ac:dyDescent="0.3">
      <c r="AB191" s="79"/>
      <c r="AC191" s="79"/>
      <c r="AD191" s="79"/>
      <c r="AE191" s="79"/>
      <c r="AF191" s="79"/>
      <c r="AG191" s="79"/>
      <c r="AH191" s="79"/>
      <c r="AI191" s="79"/>
      <c r="AJ191" s="125"/>
      <c r="AK191" s="79"/>
      <c r="AL191" s="79"/>
      <c r="AM191" s="79"/>
      <c r="AN191" s="79"/>
      <c r="AO191" s="79"/>
      <c r="AP191" s="79"/>
      <c r="AQ191" s="79"/>
    </row>
    <row r="192" spans="28:43" x14ac:dyDescent="0.3">
      <c r="AB192" s="79"/>
      <c r="AC192" s="79"/>
      <c r="AD192" s="79"/>
      <c r="AE192" s="79"/>
      <c r="AF192" s="79"/>
      <c r="AG192" s="79"/>
      <c r="AH192" s="79"/>
      <c r="AI192" s="79"/>
      <c r="AJ192" s="125"/>
      <c r="AK192" s="79"/>
      <c r="AL192" s="79"/>
      <c r="AM192" s="79"/>
      <c r="AN192" s="79"/>
      <c r="AO192" s="79"/>
      <c r="AP192" s="79"/>
      <c r="AQ192" s="79"/>
    </row>
    <row r="193" spans="28:43" x14ac:dyDescent="0.3">
      <c r="AB193" s="79"/>
      <c r="AC193" s="79"/>
      <c r="AD193" s="79"/>
      <c r="AE193" s="79"/>
      <c r="AF193" s="79"/>
      <c r="AG193" s="79"/>
      <c r="AH193" s="79"/>
      <c r="AI193" s="79"/>
      <c r="AJ193" s="125"/>
      <c r="AK193" s="79"/>
      <c r="AL193" s="79"/>
      <c r="AM193" s="79"/>
      <c r="AN193" s="79"/>
      <c r="AO193" s="79"/>
      <c r="AP193" s="79"/>
      <c r="AQ193" s="79"/>
    </row>
    <row r="194" spans="28:43" x14ac:dyDescent="0.3">
      <c r="AB194" s="79"/>
      <c r="AC194" s="79"/>
      <c r="AD194" s="79"/>
      <c r="AE194" s="79"/>
      <c r="AF194" s="79"/>
      <c r="AG194" s="79"/>
      <c r="AH194" s="79"/>
      <c r="AI194" s="79"/>
      <c r="AJ194" s="125"/>
      <c r="AK194" s="79"/>
      <c r="AL194" s="79"/>
      <c r="AM194" s="79"/>
      <c r="AN194" s="79"/>
      <c r="AO194" s="79"/>
      <c r="AP194" s="79"/>
      <c r="AQ194" s="79"/>
    </row>
    <row r="195" spans="28:43" x14ac:dyDescent="0.3">
      <c r="AB195" s="79"/>
      <c r="AC195" s="79"/>
      <c r="AD195" s="79"/>
      <c r="AE195" s="79"/>
      <c r="AF195" s="79"/>
      <c r="AG195" s="79"/>
      <c r="AH195" s="79"/>
      <c r="AI195" s="79"/>
      <c r="AJ195" s="125"/>
      <c r="AK195" s="79"/>
      <c r="AL195" s="79"/>
      <c r="AM195" s="79"/>
      <c r="AN195" s="79"/>
      <c r="AO195" s="79"/>
      <c r="AP195" s="79"/>
      <c r="AQ195" s="79"/>
    </row>
    <row r="196" spans="28:43" x14ac:dyDescent="0.3">
      <c r="AB196" s="79"/>
      <c r="AC196" s="79"/>
      <c r="AD196" s="79"/>
      <c r="AE196" s="79"/>
      <c r="AF196" s="79"/>
      <c r="AG196" s="79"/>
      <c r="AH196" s="79"/>
      <c r="AI196" s="79"/>
      <c r="AJ196" s="125"/>
      <c r="AK196" s="79"/>
      <c r="AL196" s="79"/>
      <c r="AM196" s="79"/>
      <c r="AN196" s="79"/>
      <c r="AO196" s="79"/>
      <c r="AP196" s="79"/>
      <c r="AQ196" s="79"/>
    </row>
    <row r="197" spans="28:43" x14ac:dyDescent="0.3">
      <c r="AB197" s="79"/>
      <c r="AC197" s="79"/>
      <c r="AD197" s="79"/>
      <c r="AE197" s="79"/>
      <c r="AF197" s="79"/>
      <c r="AG197" s="79"/>
      <c r="AH197" s="79"/>
      <c r="AI197" s="79"/>
      <c r="AJ197" s="125"/>
      <c r="AK197" s="79"/>
      <c r="AL197" s="79"/>
      <c r="AM197" s="79"/>
      <c r="AN197" s="79"/>
      <c r="AO197" s="79"/>
      <c r="AP197" s="79"/>
      <c r="AQ197" s="79"/>
    </row>
    <row r="198" spans="28:43" x14ac:dyDescent="0.3">
      <c r="AB198" s="79"/>
      <c r="AC198" s="79"/>
      <c r="AD198" s="79"/>
      <c r="AE198" s="79"/>
      <c r="AF198" s="79"/>
      <c r="AG198" s="79"/>
      <c r="AH198" s="79"/>
      <c r="AI198" s="79"/>
      <c r="AJ198" s="125"/>
      <c r="AK198" s="79"/>
      <c r="AL198" s="79"/>
      <c r="AM198" s="79"/>
      <c r="AN198" s="79"/>
      <c r="AO198" s="79"/>
      <c r="AP198" s="79"/>
      <c r="AQ198" s="79"/>
    </row>
    <row r="199" spans="28:43" x14ac:dyDescent="0.3">
      <c r="AB199" s="79"/>
      <c r="AC199" s="79"/>
      <c r="AD199" s="79"/>
      <c r="AE199" s="79"/>
      <c r="AF199" s="79"/>
      <c r="AG199" s="79"/>
      <c r="AH199" s="79"/>
      <c r="AI199" s="79"/>
      <c r="AJ199" s="125"/>
      <c r="AK199" s="79"/>
      <c r="AL199" s="79"/>
      <c r="AM199" s="79"/>
      <c r="AN199" s="79"/>
      <c r="AO199" s="79"/>
      <c r="AP199" s="79"/>
      <c r="AQ199" s="79"/>
    </row>
    <row r="200" spans="28:43" x14ac:dyDescent="0.3">
      <c r="AB200" s="79"/>
      <c r="AC200" s="79"/>
      <c r="AD200" s="79"/>
      <c r="AE200" s="79"/>
      <c r="AF200" s="79"/>
      <c r="AG200" s="79"/>
      <c r="AH200" s="79"/>
      <c r="AI200" s="79"/>
      <c r="AJ200" s="125"/>
      <c r="AK200" s="79"/>
      <c r="AL200" s="79"/>
      <c r="AM200" s="79"/>
      <c r="AN200" s="79"/>
      <c r="AO200" s="79"/>
      <c r="AP200" s="79"/>
      <c r="AQ200" s="79"/>
    </row>
    <row r="201" spans="28:43" x14ac:dyDescent="0.3">
      <c r="AB201" s="79"/>
      <c r="AC201" s="79"/>
      <c r="AD201" s="79"/>
      <c r="AE201" s="79"/>
      <c r="AF201" s="79"/>
      <c r="AG201" s="79"/>
      <c r="AH201" s="79"/>
      <c r="AI201" s="79"/>
      <c r="AJ201" s="125"/>
      <c r="AK201" s="79"/>
      <c r="AL201" s="79"/>
      <c r="AM201" s="79"/>
      <c r="AN201" s="79"/>
      <c r="AO201" s="79"/>
      <c r="AP201" s="79"/>
      <c r="AQ201" s="79"/>
    </row>
    <row r="202" spans="28:43" x14ac:dyDescent="0.3">
      <c r="AB202" s="79"/>
      <c r="AC202" s="79"/>
      <c r="AD202" s="79"/>
      <c r="AE202" s="79"/>
      <c r="AF202" s="79"/>
      <c r="AG202" s="79"/>
      <c r="AH202" s="79"/>
      <c r="AI202" s="79"/>
      <c r="AJ202" s="125"/>
      <c r="AK202" s="79"/>
      <c r="AL202" s="79"/>
      <c r="AM202" s="79"/>
      <c r="AN202" s="79"/>
      <c r="AO202" s="79"/>
      <c r="AP202" s="79"/>
      <c r="AQ202" s="79"/>
    </row>
    <row r="203" spans="28:43" x14ac:dyDescent="0.3">
      <c r="AB203" s="79"/>
      <c r="AC203" s="79"/>
      <c r="AD203" s="79"/>
      <c r="AE203" s="79"/>
      <c r="AF203" s="79"/>
      <c r="AG203" s="79"/>
      <c r="AH203" s="79"/>
      <c r="AI203" s="79"/>
      <c r="AJ203" s="125"/>
      <c r="AK203" s="79"/>
      <c r="AL203" s="79"/>
      <c r="AM203" s="79"/>
      <c r="AN203" s="79"/>
      <c r="AO203" s="79"/>
      <c r="AP203" s="79"/>
      <c r="AQ203" s="79"/>
    </row>
    <row r="204" spans="28:43" x14ac:dyDescent="0.3">
      <c r="AB204" s="79"/>
      <c r="AC204" s="79"/>
      <c r="AD204" s="79"/>
      <c r="AE204" s="79"/>
      <c r="AF204" s="79"/>
      <c r="AG204" s="79"/>
      <c r="AH204" s="79"/>
      <c r="AI204" s="79"/>
      <c r="AJ204" s="125"/>
      <c r="AK204" s="79"/>
      <c r="AL204" s="79"/>
      <c r="AM204" s="79"/>
      <c r="AN204" s="79"/>
      <c r="AO204" s="79"/>
      <c r="AP204" s="79"/>
      <c r="AQ204" s="79"/>
    </row>
    <row r="205" spans="28:43" x14ac:dyDescent="0.3">
      <c r="AB205" s="79"/>
      <c r="AC205" s="79"/>
      <c r="AD205" s="79"/>
      <c r="AE205" s="79"/>
      <c r="AF205" s="79"/>
      <c r="AG205" s="79"/>
      <c r="AH205" s="79"/>
      <c r="AI205" s="79"/>
      <c r="AJ205" s="125"/>
      <c r="AK205" s="79"/>
      <c r="AL205" s="79"/>
      <c r="AM205" s="79"/>
      <c r="AN205" s="79"/>
      <c r="AO205" s="79"/>
      <c r="AP205" s="79"/>
      <c r="AQ205" s="79"/>
    </row>
    <row r="206" spans="28:43" x14ac:dyDescent="0.3">
      <c r="AB206" s="79"/>
      <c r="AC206" s="79"/>
      <c r="AD206" s="79"/>
      <c r="AE206" s="79"/>
      <c r="AF206" s="79"/>
      <c r="AG206" s="79"/>
      <c r="AH206" s="79"/>
      <c r="AI206" s="79"/>
      <c r="AJ206" s="125"/>
      <c r="AK206" s="79"/>
      <c r="AL206" s="79"/>
      <c r="AM206" s="79"/>
      <c r="AN206" s="79"/>
      <c r="AO206" s="79"/>
      <c r="AP206" s="79"/>
      <c r="AQ206" s="79"/>
    </row>
    <row r="207" spans="28:43" x14ac:dyDescent="0.3">
      <c r="AB207" s="79"/>
      <c r="AC207" s="79"/>
      <c r="AD207" s="79"/>
      <c r="AE207" s="79"/>
      <c r="AF207" s="79"/>
      <c r="AG207" s="79"/>
      <c r="AH207" s="79"/>
      <c r="AI207" s="79"/>
      <c r="AJ207" s="125"/>
      <c r="AK207" s="79"/>
      <c r="AL207" s="79"/>
      <c r="AM207" s="79"/>
      <c r="AN207" s="79"/>
      <c r="AO207" s="79"/>
      <c r="AP207" s="79"/>
      <c r="AQ207" s="79"/>
    </row>
    <row r="208" spans="28:43" x14ac:dyDescent="0.3">
      <c r="AB208" s="79"/>
      <c r="AC208" s="79"/>
      <c r="AD208" s="79"/>
      <c r="AE208" s="79"/>
      <c r="AF208" s="79"/>
      <c r="AG208" s="79"/>
      <c r="AH208" s="79"/>
      <c r="AI208" s="79"/>
      <c r="AJ208" s="125"/>
      <c r="AK208" s="79"/>
      <c r="AL208" s="79"/>
      <c r="AM208" s="79"/>
      <c r="AN208" s="79"/>
      <c r="AO208" s="79"/>
      <c r="AP208" s="79"/>
      <c r="AQ208" s="79"/>
    </row>
    <row r="209" spans="28:43" x14ac:dyDescent="0.3">
      <c r="AB209" s="79"/>
      <c r="AC209" s="79"/>
      <c r="AD209" s="79"/>
      <c r="AE209" s="79"/>
      <c r="AF209" s="79"/>
      <c r="AG209" s="79"/>
      <c r="AH209" s="79"/>
      <c r="AI209" s="79"/>
      <c r="AJ209" s="125"/>
      <c r="AK209" s="79"/>
      <c r="AL209" s="79"/>
      <c r="AM209" s="79"/>
      <c r="AN209" s="79"/>
      <c r="AO209" s="79"/>
      <c r="AP209" s="79"/>
      <c r="AQ209" s="79"/>
    </row>
    <row r="210" spans="28:43" x14ac:dyDescent="0.3">
      <c r="AB210" s="79"/>
      <c r="AC210" s="79"/>
      <c r="AD210" s="79"/>
      <c r="AE210" s="79"/>
      <c r="AF210" s="79"/>
      <c r="AG210" s="79"/>
      <c r="AH210" s="79"/>
      <c r="AI210" s="79"/>
      <c r="AJ210" s="125"/>
      <c r="AK210" s="79"/>
      <c r="AL210" s="79"/>
      <c r="AM210" s="79"/>
      <c r="AN210" s="79"/>
      <c r="AO210" s="79"/>
      <c r="AP210" s="79"/>
      <c r="AQ210" s="79"/>
    </row>
    <row r="211" spans="28:43" x14ac:dyDescent="0.3">
      <c r="AB211" s="79"/>
      <c r="AC211" s="79"/>
      <c r="AD211" s="79"/>
      <c r="AE211" s="79"/>
      <c r="AF211" s="79"/>
      <c r="AG211" s="79"/>
      <c r="AH211" s="79"/>
      <c r="AI211" s="79"/>
      <c r="AJ211" s="125"/>
      <c r="AK211" s="79"/>
      <c r="AL211" s="79"/>
      <c r="AM211" s="79"/>
      <c r="AN211" s="79"/>
      <c r="AO211" s="79"/>
      <c r="AP211" s="79"/>
      <c r="AQ211" s="79"/>
    </row>
    <row r="212" spans="28:43" x14ac:dyDescent="0.3">
      <c r="AB212" s="79"/>
      <c r="AC212" s="79"/>
      <c r="AD212" s="79"/>
      <c r="AE212" s="79"/>
      <c r="AF212" s="79"/>
      <c r="AG212" s="79"/>
      <c r="AH212" s="79"/>
      <c r="AI212" s="79"/>
      <c r="AJ212" s="125"/>
      <c r="AK212" s="79"/>
      <c r="AL212" s="79"/>
      <c r="AM212" s="79"/>
      <c r="AN212" s="79"/>
      <c r="AO212" s="79"/>
      <c r="AP212" s="79"/>
      <c r="AQ212" s="79"/>
    </row>
    <row r="213" spans="28:43" x14ac:dyDescent="0.3">
      <c r="AB213" s="79"/>
      <c r="AC213" s="79"/>
      <c r="AD213" s="79"/>
      <c r="AE213" s="79"/>
      <c r="AF213" s="79"/>
      <c r="AG213" s="79"/>
      <c r="AH213" s="79"/>
      <c r="AI213" s="79"/>
      <c r="AJ213" s="125"/>
      <c r="AK213" s="79"/>
      <c r="AL213" s="79"/>
      <c r="AM213" s="79"/>
      <c r="AN213" s="79"/>
      <c r="AO213" s="79"/>
      <c r="AP213" s="79"/>
      <c r="AQ213" s="79"/>
    </row>
    <row r="214" spans="28:43" x14ac:dyDescent="0.3">
      <c r="AB214" s="79"/>
      <c r="AC214" s="79"/>
      <c r="AD214" s="79"/>
      <c r="AE214" s="79"/>
      <c r="AF214" s="79"/>
      <c r="AG214" s="79"/>
      <c r="AH214" s="79"/>
      <c r="AI214" s="79"/>
      <c r="AJ214" s="125"/>
      <c r="AK214" s="79"/>
      <c r="AL214" s="79"/>
      <c r="AM214" s="79"/>
      <c r="AN214" s="79"/>
      <c r="AO214" s="79"/>
      <c r="AP214" s="79"/>
      <c r="AQ214" s="79"/>
    </row>
    <row r="215" spans="28:43" x14ac:dyDescent="0.3">
      <c r="AB215" s="79"/>
      <c r="AC215" s="79"/>
      <c r="AD215" s="79"/>
      <c r="AE215" s="79"/>
      <c r="AF215" s="79"/>
      <c r="AG215" s="79"/>
      <c r="AH215" s="79"/>
      <c r="AI215" s="79"/>
      <c r="AJ215" s="125"/>
      <c r="AK215" s="79"/>
      <c r="AL215" s="79"/>
      <c r="AM215" s="79"/>
      <c r="AN215" s="79"/>
      <c r="AO215" s="79"/>
      <c r="AP215" s="79"/>
      <c r="AQ215" s="79"/>
    </row>
    <row r="216" spans="28:43" x14ac:dyDescent="0.3">
      <c r="AB216" s="79"/>
      <c r="AC216" s="79"/>
      <c r="AD216" s="79"/>
      <c r="AE216" s="79"/>
      <c r="AF216" s="79"/>
      <c r="AG216" s="79"/>
      <c r="AH216" s="79"/>
      <c r="AI216" s="79"/>
      <c r="AJ216" s="125"/>
      <c r="AK216" s="79"/>
      <c r="AL216" s="79"/>
      <c r="AM216" s="79"/>
      <c r="AN216" s="79"/>
      <c r="AO216" s="79"/>
      <c r="AP216" s="79"/>
      <c r="AQ216" s="79"/>
    </row>
    <row r="217" spans="28:43" x14ac:dyDescent="0.3">
      <c r="AB217" s="79"/>
      <c r="AC217" s="79"/>
      <c r="AD217" s="79"/>
      <c r="AE217" s="79"/>
      <c r="AF217" s="79"/>
      <c r="AG217" s="79"/>
      <c r="AH217" s="79"/>
      <c r="AI217" s="79"/>
      <c r="AJ217" s="125"/>
      <c r="AK217" s="79"/>
      <c r="AL217" s="79"/>
      <c r="AM217" s="79"/>
      <c r="AN217" s="79"/>
      <c r="AO217" s="79"/>
      <c r="AP217" s="79"/>
      <c r="AQ217" s="79"/>
    </row>
    <row r="218" spans="28:43" x14ac:dyDescent="0.3">
      <c r="AB218" s="79"/>
      <c r="AC218" s="79"/>
      <c r="AD218" s="79"/>
      <c r="AE218" s="79"/>
      <c r="AF218" s="79"/>
      <c r="AG218" s="79"/>
      <c r="AH218" s="79"/>
      <c r="AI218" s="79"/>
      <c r="AJ218" s="125"/>
      <c r="AK218" s="79"/>
      <c r="AL218" s="79"/>
      <c r="AM218" s="79"/>
      <c r="AN218" s="79"/>
      <c r="AO218" s="79"/>
      <c r="AP218" s="79"/>
      <c r="AQ218" s="79"/>
    </row>
    <row r="219" spans="28:43" x14ac:dyDescent="0.3">
      <c r="AB219" s="79"/>
      <c r="AC219" s="79"/>
      <c r="AD219" s="79"/>
      <c r="AE219" s="79"/>
      <c r="AF219" s="79"/>
      <c r="AG219" s="79"/>
      <c r="AH219" s="79"/>
      <c r="AI219" s="79"/>
      <c r="AJ219" s="125"/>
      <c r="AK219" s="79"/>
      <c r="AL219" s="79"/>
      <c r="AM219" s="79"/>
      <c r="AN219" s="79"/>
      <c r="AO219" s="79"/>
      <c r="AP219" s="79"/>
      <c r="AQ219" s="79"/>
    </row>
    <row r="220" spans="28:43" x14ac:dyDescent="0.3">
      <c r="AB220" s="79"/>
      <c r="AC220" s="79"/>
      <c r="AD220" s="79"/>
      <c r="AE220" s="79"/>
      <c r="AF220" s="79"/>
      <c r="AG220" s="79"/>
      <c r="AH220" s="79"/>
      <c r="AI220" s="79"/>
      <c r="AJ220" s="125"/>
      <c r="AK220" s="79"/>
      <c r="AL220" s="79"/>
      <c r="AM220" s="79"/>
      <c r="AN220" s="79"/>
      <c r="AO220" s="79"/>
      <c r="AP220" s="79"/>
      <c r="AQ220" s="79"/>
    </row>
    <row r="221" spans="28:43" x14ac:dyDescent="0.3">
      <c r="AB221" s="79"/>
      <c r="AC221" s="79"/>
      <c r="AD221" s="79"/>
      <c r="AE221" s="79"/>
      <c r="AF221" s="79"/>
      <c r="AG221" s="79"/>
      <c r="AH221" s="79"/>
      <c r="AI221" s="79"/>
      <c r="AJ221" s="125"/>
      <c r="AK221" s="79"/>
      <c r="AL221" s="79"/>
      <c r="AM221" s="79"/>
      <c r="AN221" s="79"/>
      <c r="AO221" s="79"/>
      <c r="AP221" s="79"/>
      <c r="AQ221" s="79"/>
    </row>
    <row r="222" spans="28:43" x14ac:dyDescent="0.3">
      <c r="AB222" s="79"/>
      <c r="AC222" s="79"/>
      <c r="AD222" s="79"/>
      <c r="AE222" s="79"/>
      <c r="AF222" s="79"/>
      <c r="AG222" s="79"/>
      <c r="AH222" s="79"/>
      <c r="AI222" s="79"/>
      <c r="AJ222" s="125"/>
      <c r="AK222" s="79"/>
      <c r="AL222" s="79"/>
      <c r="AM222" s="79"/>
      <c r="AN222" s="79"/>
      <c r="AO222" s="79"/>
      <c r="AP222" s="79"/>
      <c r="AQ222" s="79"/>
    </row>
    <row r="223" spans="28:43" x14ac:dyDescent="0.3">
      <c r="AB223" s="79"/>
      <c r="AC223" s="79"/>
      <c r="AD223" s="79"/>
      <c r="AE223" s="79"/>
      <c r="AF223" s="79"/>
      <c r="AG223" s="79"/>
      <c r="AH223" s="79"/>
      <c r="AI223" s="79"/>
      <c r="AJ223" s="125"/>
      <c r="AK223" s="79"/>
      <c r="AL223" s="79"/>
      <c r="AM223" s="79"/>
      <c r="AN223" s="79"/>
      <c r="AO223" s="79"/>
      <c r="AP223" s="79"/>
      <c r="AQ223" s="79"/>
    </row>
    <row r="224" spans="28:43" x14ac:dyDescent="0.3">
      <c r="AB224" s="79"/>
      <c r="AC224" s="79"/>
      <c r="AD224" s="79"/>
      <c r="AE224" s="79"/>
      <c r="AF224" s="79"/>
      <c r="AG224" s="79"/>
      <c r="AH224" s="79"/>
      <c r="AI224" s="79"/>
      <c r="AJ224" s="125"/>
      <c r="AK224" s="79"/>
      <c r="AL224" s="79"/>
      <c r="AM224" s="79"/>
      <c r="AN224" s="79"/>
      <c r="AO224" s="79"/>
      <c r="AP224" s="79"/>
      <c r="AQ224" s="79"/>
    </row>
    <row r="225" spans="28:43" x14ac:dyDescent="0.3">
      <c r="AB225" s="79"/>
      <c r="AC225" s="79"/>
      <c r="AD225" s="79"/>
      <c r="AE225" s="79"/>
      <c r="AF225" s="79"/>
      <c r="AG225" s="79"/>
      <c r="AH225" s="79"/>
      <c r="AI225" s="79"/>
      <c r="AJ225" s="125"/>
      <c r="AK225" s="79"/>
      <c r="AL225" s="79"/>
      <c r="AM225" s="79"/>
      <c r="AN225" s="79"/>
      <c r="AO225" s="79"/>
      <c r="AP225" s="79"/>
      <c r="AQ225" s="79"/>
    </row>
    <row r="226" spans="28:43" x14ac:dyDescent="0.3">
      <c r="AB226" s="79"/>
      <c r="AC226" s="79"/>
      <c r="AD226" s="79"/>
      <c r="AE226" s="79"/>
      <c r="AF226" s="79"/>
      <c r="AG226" s="79"/>
      <c r="AH226" s="79"/>
      <c r="AI226" s="79"/>
      <c r="AJ226" s="125"/>
      <c r="AK226" s="79"/>
      <c r="AL226" s="79"/>
      <c r="AM226" s="79"/>
      <c r="AN226" s="79"/>
      <c r="AO226" s="79"/>
      <c r="AP226" s="79"/>
      <c r="AQ226" s="79"/>
    </row>
    <row r="227" spans="28:43" x14ac:dyDescent="0.3">
      <c r="AB227" s="79"/>
      <c r="AC227" s="79"/>
      <c r="AD227" s="79"/>
      <c r="AE227" s="79"/>
      <c r="AF227" s="79"/>
      <c r="AG227" s="79"/>
      <c r="AH227" s="79"/>
      <c r="AI227" s="79"/>
      <c r="AJ227" s="125"/>
      <c r="AK227" s="79"/>
      <c r="AL227" s="79"/>
      <c r="AM227" s="79"/>
      <c r="AN227" s="79"/>
      <c r="AO227" s="79"/>
      <c r="AP227" s="79"/>
      <c r="AQ227" s="79"/>
    </row>
    <row r="228" spans="28:43" x14ac:dyDescent="0.3">
      <c r="AB228" s="79"/>
      <c r="AC228" s="79"/>
      <c r="AD228" s="79"/>
      <c r="AE228" s="79"/>
      <c r="AF228" s="79"/>
      <c r="AG228" s="79"/>
      <c r="AH228" s="79"/>
      <c r="AI228" s="79"/>
      <c r="AJ228" s="125"/>
      <c r="AK228" s="79"/>
      <c r="AL228" s="79"/>
      <c r="AM228" s="79"/>
      <c r="AN228" s="79"/>
      <c r="AO228" s="79"/>
      <c r="AP228" s="79"/>
      <c r="AQ228" s="79"/>
    </row>
    <row r="229" spans="28:43" x14ac:dyDescent="0.3">
      <c r="AB229" s="79"/>
      <c r="AC229" s="79"/>
      <c r="AD229" s="79"/>
      <c r="AE229" s="79"/>
      <c r="AF229" s="79"/>
      <c r="AG229" s="79"/>
      <c r="AH229" s="79"/>
      <c r="AI229" s="79"/>
      <c r="AJ229" s="125"/>
      <c r="AK229" s="79"/>
      <c r="AL229" s="79"/>
      <c r="AM229" s="79"/>
      <c r="AN229" s="79"/>
      <c r="AO229" s="79"/>
      <c r="AP229" s="79"/>
      <c r="AQ229" s="79"/>
    </row>
    <row r="230" spans="28:43" x14ac:dyDescent="0.3">
      <c r="AB230" s="79"/>
      <c r="AC230" s="79"/>
      <c r="AD230" s="79"/>
      <c r="AE230" s="79"/>
      <c r="AF230" s="79"/>
      <c r="AG230" s="79"/>
      <c r="AH230" s="79"/>
      <c r="AI230" s="79"/>
      <c r="AJ230" s="125"/>
      <c r="AK230" s="79"/>
      <c r="AL230" s="79"/>
      <c r="AM230" s="79"/>
      <c r="AN230" s="79"/>
      <c r="AO230" s="79"/>
      <c r="AP230" s="79"/>
      <c r="AQ230" s="79"/>
    </row>
    <row r="231" spans="28:43" x14ac:dyDescent="0.3">
      <c r="AB231" s="79"/>
      <c r="AC231" s="79"/>
      <c r="AD231" s="79"/>
      <c r="AE231" s="79"/>
      <c r="AF231" s="79"/>
      <c r="AG231" s="79"/>
      <c r="AH231" s="79"/>
      <c r="AI231" s="79"/>
      <c r="AJ231" s="125"/>
      <c r="AK231" s="79"/>
      <c r="AL231" s="79"/>
      <c r="AM231" s="79"/>
      <c r="AN231" s="79"/>
      <c r="AO231" s="79"/>
      <c r="AP231" s="79"/>
      <c r="AQ231" s="79"/>
    </row>
    <row r="232" spans="28:43" x14ac:dyDescent="0.3">
      <c r="AB232" s="79"/>
      <c r="AC232" s="79"/>
      <c r="AD232" s="79"/>
      <c r="AE232" s="79"/>
      <c r="AF232" s="79"/>
      <c r="AG232" s="79"/>
      <c r="AH232" s="79"/>
      <c r="AI232" s="79"/>
      <c r="AJ232" s="125"/>
      <c r="AK232" s="79"/>
      <c r="AL232" s="79"/>
      <c r="AM232" s="79"/>
      <c r="AN232" s="79"/>
      <c r="AO232" s="79"/>
      <c r="AP232" s="79"/>
      <c r="AQ232" s="79"/>
    </row>
    <row r="233" spans="28:43" x14ac:dyDescent="0.3">
      <c r="AB233" s="79"/>
      <c r="AC233" s="79"/>
      <c r="AD233" s="79"/>
      <c r="AE233" s="79"/>
      <c r="AF233" s="79"/>
      <c r="AG233" s="79"/>
      <c r="AH233" s="79"/>
      <c r="AI233" s="79"/>
      <c r="AJ233" s="125"/>
      <c r="AK233" s="79"/>
      <c r="AL233" s="79"/>
      <c r="AM233" s="79"/>
      <c r="AN233" s="79"/>
      <c r="AO233" s="79"/>
      <c r="AP233" s="79"/>
      <c r="AQ233" s="79"/>
    </row>
    <row r="234" spans="28:43" x14ac:dyDescent="0.3">
      <c r="AB234" s="79"/>
      <c r="AC234" s="79"/>
      <c r="AD234" s="79"/>
      <c r="AE234" s="79"/>
      <c r="AF234" s="79"/>
      <c r="AG234" s="79"/>
      <c r="AH234" s="79"/>
      <c r="AI234" s="79"/>
      <c r="AJ234" s="125"/>
      <c r="AK234" s="79"/>
      <c r="AL234" s="79"/>
      <c r="AM234" s="79"/>
      <c r="AN234" s="79"/>
      <c r="AO234" s="79"/>
      <c r="AP234" s="79"/>
      <c r="AQ234" s="79"/>
    </row>
    <row r="235" spans="28:43" x14ac:dyDescent="0.3">
      <c r="AB235" s="79"/>
      <c r="AC235" s="79"/>
      <c r="AD235" s="79"/>
      <c r="AE235" s="79"/>
      <c r="AF235" s="79"/>
      <c r="AG235" s="79"/>
      <c r="AH235" s="79"/>
      <c r="AI235" s="79"/>
      <c r="AJ235" s="125"/>
      <c r="AK235" s="79"/>
      <c r="AL235" s="79"/>
      <c r="AM235" s="79"/>
      <c r="AN235" s="79"/>
      <c r="AO235" s="79"/>
      <c r="AP235" s="79"/>
      <c r="AQ235" s="79"/>
    </row>
    <row r="236" spans="28:43" x14ac:dyDescent="0.3">
      <c r="AB236" s="79"/>
      <c r="AC236" s="79"/>
      <c r="AD236" s="79"/>
      <c r="AE236" s="79"/>
      <c r="AF236" s="79"/>
      <c r="AG236" s="79"/>
      <c r="AH236" s="79"/>
      <c r="AI236" s="79"/>
      <c r="AJ236" s="125"/>
      <c r="AK236" s="79"/>
      <c r="AL236" s="79"/>
      <c r="AM236" s="79"/>
      <c r="AN236" s="79"/>
      <c r="AO236" s="79"/>
      <c r="AP236" s="79"/>
      <c r="AQ236" s="79"/>
    </row>
    <row r="237" spans="28:43" x14ac:dyDescent="0.3">
      <c r="AB237" s="79"/>
      <c r="AC237" s="79"/>
      <c r="AD237" s="79"/>
      <c r="AE237" s="79"/>
      <c r="AF237" s="79"/>
      <c r="AG237" s="79"/>
      <c r="AH237" s="79"/>
      <c r="AI237" s="79"/>
      <c r="AJ237" s="125"/>
      <c r="AK237" s="79"/>
      <c r="AL237" s="79"/>
      <c r="AM237" s="79"/>
      <c r="AN237" s="79"/>
      <c r="AO237" s="79"/>
      <c r="AP237" s="79"/>
      <c r="AQ237" s="79"/>
    </row>
    <row r="238" spans="28:43" x14ac:dyDescent="0.3">
      <c r="AB238" s="79"/>
      <c r="AC238" s="79"/>
      <c r="AD238" s="79"/>
      <c r="AE238" s="79"/>
      <c r="AF238" s="79"/>
      <c r="AG238" s="79"/>
      <c r="AH238" s="79"/>
      <c r="AI238" s="79"/>
      <c r="AJ238" s="125"/>
      <c r="AK238" s="79"/>
      <c r="AL238" s="79"/>
      <c r="AM238" s="79"/>
      <c r="AN238" s="79"/>
      <c r="AO238" s="79"/>
      <c r="AP238" s="79"/>
      <c r="AQ238" s="79"/>
    </row>
    <row r="239" spans="28:43" x14ac:dyDescent="0.3">
      <c r="AB239" s="79"/>
      <c r="AC239" s="79"/>
      <c r="AD239" s="79"/>
      <c r="AE239" s="79"/>
      <c r="AF239" s="79"/>
      <c r="AG239" s="79"/>
      <c r="AH239" s="79"/>
      <c r="AI239" s="79"/>
      <c r="AJ239" s="125"/>
      <c r="AK239" s="79"/>
      <c r="AL239" s="79"/>
      <c r="AM239" s="79"/>
      <c r="AN239" s="79"/>
      <c r="AO239" s="79"/>
      <c r="AP239" s="79"/>
      <c r="AQ239" s="79"/>
    </row>
    <row r="240" spans="28:43" x14ac:dyDescent="0.3">
      <c r="AB240" s="79"/>
      <c r="AC240" s="79"/>
      <c r="AD240" s="79"/>
      <c r="AE240" s="79"/>
      <c r="AF240" s="79"/>
      <c r="AG240" s="79"/>
      <c r="AH240" s="79"/>
      <c r="AI240" s="79"/>
      <c r="AJ240" s="125"/>
      <c r="AK240" s="79"/>
      <c r="AL240" s="79"/>
      <c r="AM240" s="79"/>
      <c r="AN240" s="79"/>
      <c r="AO240" s="79"/>
      <c r="AP240" s="79"/>
      <c r="AQ240" s="79"/>
    </row>
    <row r="241" spans="28:43" x14ac:dyDescent="0.3">
      <c r="AB241" s="79"/>
      <c r="AC241" s="79"/>
      <c r="AD241" s="79"/>
      <c r="AE241" s="79"/>
      <c r="AF241" s="79"/>
      <c r="AG241" s="79"/>
      <c r="AH241" s="79"/>
      <c r="AI241" s="79"/>
      <c r="AJ241" s="125"/>
      <c r="AK241" s="79"/>
      <c r="AL241" s="79"/>
      <c r="AM241" s="79"/>
      <c r="AN241" s="79"/>
      <c r="AO241" s="79"/>
      <c r="AP241" s="79"/>
      <c r="AQ241" s="79"/>
    </row>
    <row r="242" spans="28:43" x14ac:dyDescent="0.3">
      <c r="AB242" s="79"/>
      <c r="AC242" s="79"/>
      <c r="AD242" s="79"/>
      <c r="AE242" s="79"/>
      <c r="AF242" s="79"/>
      <c r="AG242" s="79"/>
      <c r="AH242" s="79"/>
      <c r="AI242" s="79"/>
      <c r="AJ242" s="125"/>
      <c r="AK242" s="79"/>
      <c r="AL242" s="79"/>
      <c r="AM242" s="79"/>
      <c r="AN242" s="79"/>
      <c r="AO242" s="79"/>
      <c r="AP242" s="79"/>
      <c r="AQ242" s="79"/>
    </row>
    <row r="243" spans="28:43" x14ac:dyDescent="0.3">
      <c r="AB243" s="79"/>
      <c r="AC243" s="79"/>
      <c r="AD243" s="79"/>
      <c r="AE243" s="79"/>
      <c r="AF243" s="79"/>
      <c r="AG243" s="79"/>
      <c r="AH243" s="79"/>
      <c r="AI243" s="79"/>
      <c r="AJ243" s="125"/>
      <c r="AK243" s="79"/>
      <c r="AL243" s="79"/>
      <c r="AM243" s="79"/>
      <c r="AN243" s="79"/>
      <c r="AO243" s="79"/>
      <c r="AP243" s="79"/>
      <c r="AQ243" s="79"/>
    </row>
    <row r="244" spans="28:43" x14ac:dyDescent="0.3">
      <c r="AB244" s="79"/>
      <c r="AC244" s="79"/>
      <c r="AD244" s="79"/>
      <c r="AE244" s="79"/>
      <c r="AF244" s="79"/>
      <c r="AG244" s="79"/>
      <c r="AH244" s="79"/>
      <c r="AI244" s="79"/>
      <c r="AJ244" s="125"/>
      <c r="AK244" s="79"/>
      <c r="AL244" s="79"/>
      <c r="AM244" s="79"/>
      <c r="AN244" s="79"/>
      <c r="AO244" s="79"/>
      <c r="AP244" s="79"/>
      <c r="AQ244" s="79"/>
    </row>
    <row r="245" spans="28:43" x14ac:dyDescent="0.3">
      <c r="AB245" s="79"/>
      <c r="AC245" s="79"/>
      <c r="AD245" s="79"/>
      <c r="AE245" s="79"/>
      <c r="AF245" s="79"/>
      <c r="AG245" s="79"/>
      <c r="AH245" s="79"/>
      <c r="AI245" s="79"/>
      <c r="AJ245" s="125"/>
      <c r="AK245" s="79"/>
      <c r="AL245" s="79"/>
      <c r="AM245" s="79"/>
      <c r="AN245" s="79"/>
      <c r="AO245" s="79"/>
      <c r="AP245" s="79"/>
      <c r="AQ245" s="79"/>
    </row>
    <row r="246" spans="28:43" x14ac:dyDescent="0.3">
      <c r="AB246" s="79"/>
      <c r="AC246" s="79"/>
      <c r="AD246" s="79"/>
      <c r="AE246" s="79"/>
      <c r="AF246" s="79"/>
      <c r="AG246" s="79"/>
      <c r="AH246" s="79"/>
      <c r="AI246" s="79"/>
      <c r="AJ246" s="125"/>
      <c r="AK246" s="79"/>
      <c r="AL246" s="79"/>
      <c r="AM246" s="79"/>
      <c r="AN246" s="79"/>
      <c r="AO246" s="79"/>
      <c r="AP246" s="79"/>
      <c r="AQ246" s="79"/>
    </row>
    <row r="247" spans="28:43" x14ac:dyDescent="0.3">
      <c r="AB247" s="79"/>
      <c r="AC247" s="79"/>
      <c r="AD247" s="79"/>
      <c r="AE247" s="79"/>
      <c r="AF247" s="79"/>
      <c r="AG247" s="79"/>
      <c r="AH247" s="79"/>
      <c r="AI247" s="79"/>
      <c r="AJ247" s="125"/>
      <c r="AK247" s="79"/>
      <c r="AL247" s="79"/>
      <c r="AM247" s="79"/>
      <c r="AN247" s="79"/>
      <c r="AO247" s="79"/>
      <c r="AP247" s="79"/>
      <c r="AQ247" s="79"/>
    </row>
    <row r="248" spans="28:43" x14ac:dyDescent="0.3">
      <c r="AB248" s="79"/>
      <c r="AC248" s="79"/>
      <c r="AD248" s="79"/>
      <c r="AE248" s="79"/>
      <c r="AF248" s="79"/>
      <c r="AG248" s="79"/>
      <c r="AH248" s="79"/>
      <c r="AI248" s="79"/>
      <c r="AJ248" s="125"/>
      <c r="AK248" s="79"/>
      <c r="AL248" s="79"/>
      <c r="AM248" s="79"/>
      <c r="AN248" s="79"/>
      <c r="AO248" s="79"/>
      <c r="AP248" s="79"/>
      <c r="AQ248" s="79"/>
    </row>
    <row r="249" spans="28:43" x14ac:dyDescent="0.3">
      <c r="AB249" s="79"/>
      <c r="AC249" s="79"/>
      <c r="AD249" s="79"/>
      <c r="AE249" s="79"/>
      <c r="AF249" s="79"/>
      <c r="AG249" s="79"/>
      <c r="AH249" s="79"/>
      <c r="AI249" s="79"/>
      <c r="AJ249" s="125"/>
      <c r="AK249" s="79"/>
      <c r="AL249" s="79"/>
      <c r="AM249" s="79"/>
      <c r="AN249" s="79"/>
      <c r="AO249" s="79"/>
      <c r="AP249" s="79"/>
      <c r="AQ249" s="79"/>
    </row>
    <row r="250" spans="28:43" x14ac:dyDescent="0.3">
      <c r="AB250" s="79"/>
      <c r="AC250" s="79"/>
      <c r="AD250" s="79"/>
      <c r="AE250" s="79"/>
      <c r="AF250" s="79"/>
      <c r="AG250" s="79"/>
      <c r="AH250" s="79"/>
      <c r="AI250" s="79"/>
      <c r="AJ250" s="125"/>
      <c r="AK250" s="79"/>
      <c r="AL250" s="79"/>
      <c r="AM250" s="79"/>
      <c r="AN250" s="79"/>
      <c r="AO250" s="79"/>
      <c r="AP250" s="79"/>
      <c r="AQ250" s="79"/>
    </row>
    <row r="251" spans="28:43" x14ac:dyDescent="0.3">
      <c r="AB251" s="79"/>
      <c r="AC251" s="79"/>
      <c r="AD251" s="79"/>
      <c r="AE251" s="79"/>
      <c r="AF251" s="79"/>
      <c r="AG251" s="79"/>
      <c r="AH251" s="79"/>
      <c r="AI251" s="79"/>
      <c r="AJ251" s="125"/>
      <c r="AK251" s="79"/>
      <c r="AL251" s="79"/>
      <c r="AM251" s="79"/>
      <c r="AN251" s="79"/>
      <c r="AO251" s="79"/>
      <c r="AP251" s="79"/>
      <c r="AQ251" s="79"/>
    </row>
    <row r="252" spans="28:43" x14ac:dyDescent="0.3">
      <c r="AB252" s="79"/>
      <c r="AC252" s="79"/>
      <c r="AD252" s="79"/>
      <c r="AE252" s="79"/>
      <c r="AF252" s="79"/>
      <c r="AG252" s="79"/>
      <c r="AH252" s="79"/>
      <c r="AI252" s="79"/>
      <c r="AJ252" s="125"/>
      <c r="AK252" s="79"/>
      <c r="AL252" s="79"/>
      <c r="AM252" s="79"/>
      <c r="AN252" s="79"/>
      <c r="AO252" s="79"/>
      <c r="AP252" s="79"/>
      <c r="AQ252" s="79"/>
    </row>
    <row r="253" spans="28:43" x14ac:dyDescent="0.3">
      <c r="AB253" s="79"/>
      <c r="AC253" s="79"/>
      <c r="AD253" s="79"/>
      <c r="AE253" s="79"/>
      <c r="AF253" s="79"/>
      <c r="AG253" s="79"/>
      <c r="AH253" s="79"/>
      <c r="AI253" s="79"/>
      <c r="AJ253" s="125"/>
      <c r="AK253" s="79"/>
      <c r="AL253" s="79"/>
      <c r="AM253" s="79"/>
      <c r="AN253" s="79"/>
      <c r="AO253" s="79"/>
      <c r="AP253" s="79"/>
      <c r="AQ253" s="79"/>
    </row>
    <row r="254" spans="28:43" x14ac:dyDescent="0.3">
      <c r="AB254" s="79"/>
      <c r="AC254" s="79"/>
      <c r="AD254" s="79"/>
      <c r="AE254" s="79"/>
      <c r="AF254" s="79"/>
      <c r="AG254" s="79"/>
      <c r="AH254" s="79"/>
      <c r="AI254" s="79"/>
      <c r="AJ254" s="125"/>
      <c r="AK254" s="79"/>
      <c r="AL254" s="79"/>
      <c r="AM254" s="79"/>
      <c r="AN254" s="79"/>
      <c r="AO254" s="79"/>
      <c r="AP254" s="79"/>
      <c r="AQ254" s="79"/>
    </row>
    <row r="255" spans="28:43" x14ac:dyDescent="0.3">
      <c r="AB255" s="79"/>
      <c r="AC255" s="79"/>
      <c r="AD255" s="79"/>
      <c r="AE255" s="79"/>
      <c r="AF255" s="79"/>
      <c r="AG255" s="79"/>
      <c r="AH255" s="79"/>
      <c r="AI255" s="79"/>
      <c r="AJ255" s="125"/>
      <c r="AK255" s="79"/>
      <c r="AL255" s="79"/>
      <c r="AM255" s="79"/>
      <c r="AN255" s="79"/>
      <c r="AO255" s="79"/>
      <c r="AP255" s="79"/>
      <c r="AQ255" s="79"/>
    </row>
    <row r="256" spans="28:43" x14ac:dyDescent="0.3">
      <c r="AB256" s="79"/>
      <c r="AC256" s="79"/>
      <c r="AD256" s="79"/>
      <c r="AE256" s="79"/>
      <c r="AF256" s="79"/>
      <c r="AG256" s="79"/>
      <c r="AH256" s="79"/>
      <c r="AI256" s="79"/>
      <c r="AJ256" s="125"/>
      <c r="AK256" s="79"/>
      <c r="AL256" s="79"/>
      <c r="AM256" s="79"/>
      <c r="AN256" s="79"/>
      <c r="AO256" s="79"/>
      <c r="AP256" s="79"/>
      <c r="AQ256" s="79"/>
    </row>
    <row r="257" spans="28:43" x14ac:dyDescent="0.3">
      <c r="AB257" s="79"/>
      <c r="AC257" s="79"/>
      <c r="AD257" s="79"/>
      <c r="AE257" s="79"/>
      <c r="AF257" s="79"/>
      <c r="AG257" s="79"/>
      <c r="AH257" s="79"/>
      <c r="AI257" s="79"/>
      <c r="AJ257" s="125"/>
      <c r="AK257" s="79"/>
      <c r="AL257" s="79"/>
      <c r="AM257" s="79"/>
      <c r="AN257" s="79"/>
      <c r="AO257" s="79"/>
      <c r="AP257" s="79"/>
      <c r="AQ257" s="79"/>
    </row>
    <row r="258" spans="28:43" x14ac:dyDescent="0.3">
      <c r="AB258" s="79"/>
      <c r="AC258" s="79"/>
      <c r="AD258" s="79"/>
      <c r="AE258" s="79"/>
      <c r="AF258" s="79"/>
      <c r="AG258" s="79"/>
      <c r="AH258" s="79"/>
      <c r="AI258" s="79"/>
      <c r="AJ258" s="125"/>
      <c r="AK258" s="79"/>
      <c r="AL258" s="79"/>
      <c r="AM258" s="79"/>
      <c r="AN258" s="79"/>
      <c r="AO258" s="79"/>
      <c r="AP258" s="79"/>
      <c r="AQ258" s="79"/>
    </row>
    <row r="259" spans="28:43" x14ac:dyDescent="0.3">
      <c r="AB259" s="79"/>
      <c r="AC259" s="79"/>
      <c r="AD259" s="79"/>
      <c r="AE259" s="79"/>
      <c r="AF259" s="79"/>
      <c r="AG259" s="79"/>
      <c r="AH259" s="79"/>
      <c r="AI259" s="79"/>
      <c r="AJ259" s="125"/>
      <c r="AK259" s="79"/>
      <c r="AL259" s="79"/>
      <c r="AM259" s="79"/>
      <c r="AN259" s="79"/>
      <c r="AO259" s="79"/>
      <c r="AP259" s="79"/>
      <c r="AQ259" s="79"/>
    </row>
    <row r="260" spans="28:43" x14ac:dyDescent="0.3">
      <c r="AB260" s="79"/>
      <c r="AC260" s="79"/>
      <c r="AD260" s="79"/>
      <c r="AE260" s="79"/>
      <c r="AF260" s="79"/>
      <c r="AG260" s="79"/>
      <c r="AH260" s="79"/>
      <c r="AI260" s="79"/>
      <c r="AJ260" s="125"/>
      <c r="AK260" s="79"/>
      <c r="AL260" s="79"/>
      <c r="AM260" s="79"/>
      <c r="AN260" s="79"/>
      <c r="AO260" s="79"/>
      <c r="AP260" s="79"/>
      <c r="AQ260" s="79"/>
    </row>
    <row r="261" spans="28:43" x14ac:dyDescent="0.3">
      <c r="AB261" s="79"/>
      <c r="AC261" s="79"/>
      <c r="AD261" s="79"/>
      <c r="AE261" s="79"/>
      <c r="AF261" s="79"/>
      <c r="AG261" s="79"/>
      <c r="AH261" s="79"/>
      <c r="AI261" s="79"/>
      <c r="AJ261" s="125"/>
      <c r="AK261" s="79"/>
      <c r="AL261" s="79"/>
      <c r="AM261" s="79"/>
      <c r="AN261" s="79"/>
      <c r="AO261" s="79"/>
      <c r="AP261" s="79"/>
      <c r="AQ261" s="79"/>
    </row>
    <row r="262" spans="28:43" x14ac:dyDescent="0.3">
      <c r="AB262" s="79"/>
      <c r="AC262" s="79"/>
      <c r="AD262" s="79"/>
      <c r="AE262" s="79"/>
      <c r="AF262" s="79"/>
      <c r="AG262" s="79"/>
      <c r="AH262" s="79"/>
      <c r="AI262" s="79"/>
      <c r="AJ262" s="125"/>
      <c r="AK262" s="79"/>
      <c r="AL262" s="79"/>
      <c r="AM262" s="79"/>
      <c r="AN262" s="79"/>
      <c r="AO262" s="79"/>
      <c r="AP262" s="79"/>
      <c r="AQ262" s="79"/>
    </row>
    <row r="263" spans="28:43" x14ac:dyDescent="0.3">
      <c r="AB263" s="79"/>
      <c r="AC263" s="79"/>
      <c r="AD263" s="79"/>
      <c r="AE263" s="79"/>
      <c r="AF263" s="79"/>
      <c r="AG263" s="79"/>
      <c r="AH263" s="79"/>
      <c r="AI263" s="79"/>
      <c r="AJ263" s="125"/>
      <c r="AK263" s="79"/>
      <c r="AL263" s="79"/>
      <c r="AM263" s="79"/>
      <c r="AN263" s="79"/>
      <c r="AO263" s="79"/>
      <c r="AP263" s="79"/>
      <c r="AQ263" s="79"/>
    </row>
    <row r="264" spans="28:43" x14ac:dyDescent="0.3">
      <c r="AB264" s="79"/>
      <c r="AC264" s="79"/>
      <c r="AD264" s="79"/>
      <c r="AE264" s="79"/>
      <c r="AF264" s="79"/>
      <c r="AG264" s="79"/>
      <c r="AH264" s="79"/>
      <c r="AI264" s="79"/>
      <c r="AJ264" s="125"/>
      <c r="AK264" s="79"/>
      <c r="AL264" s="79"/>
      <c r="AM264" s="79"/>
      <c r="AN264" s="79"/>
      <c r="AO264" s="79"/>
      <c r="AP264" s="79"/>
      <c r="AQ264" s="79"/>
    </row>
    <row r="265" spans="28:43" x14ac:dyDescent="0.3">
      <c r="AB265" s="79"/>
      <c r="AC265" s="79"/>
      <c r="AD265" s="79"/>
      <c r="AE265" s="79"/>
      <c r="AF265" s="79"/>
      <c r="AG265" s="79"/>
      <c r="AH265" s="79"/>
      <c r="AI265" s="79"/>
      <c r="AJ265" s="125"/>
      <c r="AK265" s="79"/>
      <c r="AL265" s="79"/>
      <c r="AM265" s="79"/>
      <c r="AN265" s="79"/>
      <c r="AO265" s="79"/>
      <c r="AP265" s="79"/>
      <c r="AQ265" s="79"/>
    </row>
    <row r="266" spans="28:43" x14ac:dyDescent="0.3">
      <c r="AB266" s="79"/>
      <c r="AC266" s="79"/>
      <c r="AD266" s="79"/>
      <c r="AE266" s="79"/>
      <c r="AF266" s="79"/>
      <c r="AG266" s="79"/>
      <c r="AH266" s="79"/>
      <c r="AI266" s="79"/>
      <c r="AJ266" s="125"/>
      <c r="AK266" s="79"/>
      <c r="AL266" s="79"/>
      <c r="AM266" s="79"/>
      <c r="AN266" s="79"/>
      <c r="AO266" s="79"/>
      <c r="AP266" s="79"/>
      <c r="AQ266" s="79"/>
    </row>
    <row r="267" spans="28:43" x14ac:dyDescent="0.3">
      <c r="AB267" s="79"/>
      <c r="AC267" s="79"/>
      <c r="AD267" s="79"/>
      <c r="AE267" s="79"/>
      <c r="AF267" s="79"/>
      <c r="AG267" s="79"/>
      <c r="AH267" s="79"/>
      <c r="AI267" s="79"/>
      <c r="AJ267" s="125"/>
      <c r="AK267" s="79"/>
      <c r="AL267" s="79"/>
      <c r="AM267" s="79"/>
      <c r="AN267" s="79"/>
      <c r="AO267" s="79"/>
      <c r="AP267" s="79"/>
      <c r="AQ267" s="79"/>
    </row>
    <row r="268" spans="28:43" x14ac:dyDescent="0.3">
      <c r="AB268" s="79"/>
      <c r="AC268" s="79"/>
      <c r="AD268" s="79"/>
      <c r="AE268" s="79"/>
      <c r="AF268" s="79"/>
      <c r="AG268" s="79"/>
      <c r="AH268" s="79"/>
      <c r="AI268" s="79"/>
      <c r="AJ268" s="125"/>
      <c r="AK268" s="79"/>
      <c r="AL268" s="79"/>
      <c r="AM268" s="79"/>
      <c r="AN268" s="79"/>
      <c r="AO268" s="79"/>
      <c r="AP268" s="79"/>
      <c r="AQ268" s="79"/>
    </row>
    <row r="269" spans="28:43" x14ac:dyDescent="0.3">
      <c r="AB269" s="79"/>
      <c r="AC269" s="79"/>
      <c r="AD269" s="79"/>
      <c r="AE269" s="79"/>
      <c r="AF269" s="79"/>
      <c r="AG269" s="79"/>
      <c r="AH269" s="79"/>
      <c r="AI269" s="79"/>
      <c r="AJ269" s="125"/>
      <c r="AK269" s="79"/>
      <c r="AL269" s="79"/>
      <c r="AM269" s="79"/>
      <c r="AN269" s="79"/>
      <c r="AO269" s="79"/>
      <c r="AP269" s="79"/>
      <c r="AQ269" s="79"/>
    </row>
    <row r="270" spans="28:43" x14ac:dyDescent="0.3">
      <c r="AB270" s="79"/>
      <c r="AC270" s="79"/>
      <c r="AD270" s="79"/>
      <c r="AE270" s="79"/>
      <c r="AF270" s="79"/>
      <c r="AG270" s="79"/>
      <c r="AH270" s="79"/>
      <c r="AI270" s="79"/>
      <c r="AJ270" s="125"/>
      <c r="AK270" s="79"/>
      <c r="AL270" s="79"/>
      <c r="AM270" s="79"/>
      <c r="AN270" s="79"/>
      <c r="AO270" s="79"/>
      <c r="AP270" s="79"/>
      <c r="AQ270" s="79"/>
    </row>
    <row r="271" spans="28:43" x14ac:dyDescent="0.3">
      <c r="AB271" s="79"/>
      <c r="AC271" s="79"/>
      <c r="AD271" s="79"/>
      <c r="AE271" s="79"/>
      <c r="AF271" s="79"/>
      <c r="AG271" s="79"/>
      <c r="AH271" s="79"/>
      <c r="AI271" s="79"/>
      <c r="AJ271" s="125"/>
      <c r="AK271" s="79"/>
      <c r="AL271" s="79"/>
      <c r="AM271" s="79"/>
      <c r="AN271" s="79"/>
      <c r="AO271" s="79"/>
      <c r="AP271" s="79"/>
      <c r="AQ271" s="79"/>
    </row>
    <row r="272" spans="28:43" x14ac:dyDescent="0.3">
      <c r="AB272" s="79"/>
      <c r="AC272" s="79"/>
      <c r="AD272" s="79"/>
      <c r="AE272" s="79"/>
      <c r="AF272" s="79"/>
      <c r="AG272" s="79"/>
      <c r="AH272" s="79"/>
      <c r="AI272" s="79"/>
      <c r="AJ272" s="125"/>
      <c r="AK272" s="79"/>
      <c r="AL272" s="79"/>
      <c r="AM272" s="79"/>
      <c r="AN272" s="79"/>
      <c r="AO272" s="79"/>
      <c r="AP272" s="79"/>
      <c r="AQ272" s="79"/>
    </row>
    <row r="273" spans="28:43" x14ac:dyDescent="0.3">
      <c r="AB273" s="79"/>
      <c r="AC273" s="79"/>
      <c r="AD273" s="79"/>
      <c r="AE273" s="79"/>
      <c r="AF273" s="79"/>
      <c r="AG273" s="79"/>
      <c r="AH273" s="79"/>
      <c r="AI273" s="79"/>
      <c r="AJ273" s="125"/>
      <c r="AK273" s="79"/>
      <c r="AL273" s="79"/>
      <c r="AM273" s="79"/>
      <c r="AN273" s="79"/>
      <c r="AO273" s="79"/>
      <c r="AP273" s="79"/>
      <c r="AQ273" s="79"/>
    </row>
    <row r="274" spans="28:43" x14ac:dyDescent="0.3">
      <c r="AB274" s="79"/>
      <c r="AC274" s="79"/>
      <c r="AD274" s="79"/>
      <c r="AE274" s="79"/>
      <c r="AF274" s="79"/>
      <c r="AG274" s="79"/>
      <c r="AH274" s="79"/>
      <c r="AI274" s="79"/>
      <c r="AJ274" s="125"/>
      <c r="AK274" s="79"/>
      <c r="AL274" s="79"/>
      <c r="AM274" s="79"/>
      <c r="AN274" s="79"/>
      <c r="AO274" s="79"/>
      <c r="AP274" s="79"/>
      <c r="AQ274" s="79"/>
    </row>
    <row r="275" spans="28:43" x14ac:dyDescent="0.3">
      <c r="AB275" s="79"/>
      <c r="AC275" s="79"/>
      <c r="AD275" s="79"/>
      <c r="AE275" s="79"/>
      <c r="AF275" s="79"/>
      <c r="AG275" s="79"/>
      <c r="AH275" s="79"/>
      <c r="AI275" s="79"/>
      <c r="AJ275" s="125"/>
      <c r="AK275" s="79"/>
      <c r="AL275" s="79"/>
      <c r="AM275" s="79"/>
      <c r="AN275" s="79"/>
      <c r="AO275" s="79"/>
      <c r="AP275" s="79"/>
      <c r="AQ275" s="79"/>
    </row>
    <row r="276" spans="28:43" x14ac:dyDescent="0.3">
      <c r="AB276" s="79"/>
      <c r="AC276" s="79"/>
      <c r="AD276" s="79"/>
      <c r="AE276" s="79"/>
      <c r="AF276" s="79"/>
      <c r="AG276" s="79"/>
      <c r="AH276" s="79"/>
      <c r="AI276" s="79"/>
      <c r="AJ276" s="125"/>
      <c r="AK276" s="79"/>
      <c r="AL276" s="79"/>
      <c r="AM276" s="79"/>
      <c r="AN276" s="79"/>
      <c r="AO276" s="79"/>
      <c r="AP276" s="79"/>
      <c r="AQ276" s="79"/>
    </row>
    <row r="277" spans="28:43" x14ac:dyDescent="0.3">
      <c r="AB277" s="79"/>
      <c r="AC277" s="79"/>
      <c r="AD277" s="79"/>
      <c r="AE277" s="79"/>
      <c r="AF277" s="79"/>
      <c r="AG277" s="79"/>
      <c r="AH277" s="79"/>
      <c r="AI277" s="79"/>
      <c r="AJ277" s="125"/>
      <c r="AK277" s="79"/>
      <c r="AL277" s="79"/>
      <c r="AM277" s="79"/>
      <c r="AN277" s="79"/>
      <c r="AO277" s="79"/>
      <c r="AP277" s="79"/>
      <c r="AQ277" s="79"/>
    </row>
    <row r="278" spans="28:43" x14ac:dyDescent="0.3">
      <c r="AB278" s="79"/>
      <c r="AC278" s="79"/>
      <c r="AD278" s="79"/>
      <c r="AE278" s="79"/>
      <c r="AF278" s="79"/>
      <c r="AG278" s="79"/>
      <c r="AH278" s="79"/>
      <c r="AI278" s="79"/>
      <c r="AJ278" s="125"/>
      <c r="AK278" s="79"/>
      <c r="AL278" s="79"/>
      <c r="AM278" s="79"/>
      <c r="AN278" s="79"/>
      <c r="AO278" s="79"/>
      <c r="AP278" s="79"/>
      <c r="AQ278" s="79"/>
    </row>
    <row r="279" spans="28:43" x14ac:dyDescent="0.3">
      <c r="AB279" s="79"/>
      <c r="AC279" s="79"/>
      <c r="AD279" s="79"/>
      <c r="AE279" s="79"/>
      <c r="AF279" s="79"/>
      <c r="AG279" s="79"/>
      <c r="AH279" s="79"/>
      <c r="AI279" s="79"/>
      <c r="AJ279" s="125"/>
      <c r="AK279" s="79"/>
      <c r="AL279" s="79"/>
      <c r="AM279" s="79"/>
      <c r="AN279" s="79"/>
      <c r="AO279" s="79"/>
      <c r="AP279" s="79"/>
      <c r="AQ279" s="79"/>
    </row>
    <row r="280" spans="28:43" x14ac:dyDescent="0.3">
      <c r="AB280" s="79"/>
      <c r="AC280" s="79"/>
      <c r="AD280" s="79"/>
      <c r="AE280" s="79"/>
      <c r="AF280" s="79"/>
      <c r="AG280" s="79"/>
      <c r="AH280" s="79"/>
      <c r="AI280" s="79"/>
      <c r="AJ280" s="125"/>
      <c r="AK280" s="79"/>
      <c r="AL280" s="79"/>
      <c r="AM280" s="79"/>
      <c r="AN280" s="79"/>
      <c r="AO280" s="79"/>
      <c r="AP280" s="79"/>
      <c r="AQ280" s="79"/>
    </row>
    <row r="281" spans="28:43" x14ac:dyDescent="0.3">
      <c r="AB281" s="79"/>
      <c r="AC281" s="79"/>
      <c r="AD281" s="79"/>
      <c r="AE281" s="79"/>
      <c r="AF281" s="79"/>
      <c r="AG281" s="79"/>
      <c r="AH281" s="79"/>
      <c r="AI281" s="79"/>
      <c r="AJ281" s="125"/>
      <c r="AK281" s="79"/>
      <c r="AL281" s="79"/>
      <c r="AM281" s="79"/>
      <c r="AN281" s="79"/>
      <c r="AO281" s="79"/>
      <c r="AP281" s="79"/>
      <c r="AQ281" s="79"/>
    </row>
    <row r="282" spans="28:43" x14ac:dyDescent="0.3">
      <c r="AB282" s="79"/>
      <c r="AC282" s="79"/>
      <c r="AD282" s="79"/>
      <c r="AE282" s="79"/>
      <c r="AF282" s="79"/>
      <c r="AG282" s="79"/>
      <c r="AH282" s="79"/>
      <c r="AI282" s="79"/>
      <c r="AJ282" s="125"/>
      <c r="AK282" s="79"/>
      <c r="AL282" s="79"/>
      <c r="AM282" s="79"/>
      <c r="AN282" s="79"/>
      <c r="AO282" s="79"/>
      <c r="AP282" s="79"/>
      <c r="AQ282" s="79"/>
    </row>
    <row r="283" spans="28:43" x14ac:dyDescent="0.3">
      <c r="AB283" s="79"/>
      <c r="AC283" s="79"/>
      <c r="AD283" s="79"/>
      <c r="AE283" s="79"/>
      <c r="AF283" s="79"/>
      <c r="AG283" s="79"/>
      <c r="AH283" s="79"/>
      <c r="AI283" s="79"/>
      <c r="AJ283" s="125"/>
      <c r="AK283" s="79"/>
      <c r="AL283" s="79"/>
      <c r="AM283" s="79"/>
      <c r="AN283" s="79"/>
      <c r="AO283" s="79"/>
      <c r="AP283" s="79"/>
      <c r="AQ283" s="79"/>
    </row>
    <row r="284" spans="28:43" x14ac:dyDescent="0.3">
      <c r="AB284" s="79"/>
      <c r="AC284" s="79"/>
      <c r="AD284" s="79"/>
      <c r="AE284" s="79"/>
      <c r="AF284" s="79"/>
      <c r="AG284" s="79"/>
      <c r="AH284" s="79"/>
      <c r="AI284" s="79"/>
      <c r="AJ284" s="125"/>
      <c r="AK284" s="79"/>
      <c r="AL284" s="79"/>
      <c r="AM284" s="79"/>
      <c r="AN284" s="79"/>
      <c r="AO284" s="79"/>
      <c r="AP284" s="79"/>
      <c r="AQ284" s="79"/>
    </row>
    <row r="285" spans="28:43" x14ac:dyDescent="0.3">
      <c r="AB285" s="79"/>
      <c r="AC285" s="79"/>
      <c r="AD285" s="79"/>
      <c r="AE285" s="79"/>
      <c r="AF285" s="79"/>
      <c r="AG285" s="79"/>
      <c r="AH285" s="79"/>
      <c r="AI285" s="79"/>
      <c r="AJ285" s="125"/>
      <c r="AK285" s="79"/>
      <c r="AL285" s="79"/>
      <c r="AM285" s="79"/>
      <c r="AN285" s="79"/>
      <c r="AO285" s="79"/>
      <c r="AP285" s="79"/>
      <c r="AQ285" s="79"/>
    </row>
    <row r="286" spans="28:43" x14ac:dyDescent="0.3">
      <c r="AB286" s="79"/>
      <c r="AC286" s="79"/>
      <c r="AD286" s="79"/>
      <c r="AE286" s="79"/>
      <c r="AF286" s="79"/>
      <c r="AG286" s="79"/>
      <c r="AH286" s="79"/>
      <c r="AI286" s="79"/>
      <c r="AJ286" s="125"/>
      <c r="AK286" s="79"/>
      <c r="AL286" s="79"/>
      <c r="AM286" s="79"/>
      <c r="AN286" s="79"/>
      <c r="AO286" s="79"/>
      <c r="AP286" s="79"/>
      <c r="AQ286" s="79"/>
    </row>
    <row r="287" spans="28:43" x14ac:dyDescent="0.3">
      <c r="AB287" s="79"/>
      <c r="AC287" s="79"/>
      <c r="AD287" s="79"/>
      <c r="AE287" s="79"/>
      <c r="AF287" s="79"/>
      <c r="AG287" s="79"/>
      <c r="AH287" s="79"/>
      <c r="AI287" s="79"/>
      <c r="AJ287" s="125"/>
      <c r="AK287" s="79"/>
      <c r="AL287" s="79"/>
      <c r="AM287" s="79"/>
      <c r="AN287" s="79"/>
      <c r="AO287" s="79"/>
      <c r="AP287" s="79"/>
      <c r="AQ287" s="79"/>
    </row>
    <row r="288" spans="28:43" x14ac:dyDescent="0.3">
      <c r="AB288" s="79"/>
      <c r="AC288" s="79"/>
      <c r="AD288" s="79"/>
      <c r="AE288" s="79"/>
      <c r="AF288" s="79"/>
      <c r="AG288" s="79"/>
      <c r="AH288" s="79"/>
      <c r="AI288" s="79"/>
      <c r="AJ288" s="125"/>
      <c r="AK288" s="79"/>
      <c r="AL288" s="79"/>
      <c r="AM288" s="79"/>
      <c r="AN288" s="79"/>
      <c r="AO288" s="79"/>
      <c r="AP288" s="79"/>
      <c r="AQ288" s="79"/>
    </row>
    <row r="289" spans="28:43" x14ac:dyDescent="0.3">
      <c r="AB289" s="79"/>
      <c r="AC289" s="79"/>
      <c r="AD289" s="79"/>
      <c r="AE289" s="79"/>
      <c r="AF289" s="79"/>
      <c r="AG289" s="79"/>
      <c r="AH289" s="79"/>
      <c r="AI289" s="79"/>
      <c r="AJ289" s="125"/>
      <c r="AK289" s="79"/>
      <c r="AL289" s="79"/>
      <c r="AM289" s="79"/>
      <c r="AN289" s="79"/>
      <c r="AO289" s="79"/>
      <c r="AP289" s="79"/>
      <c r="AQ289" s="79"/>
    </row>
    <row r="290" spans="28:43" x14ac:dyDescent="0.3">
      <c r="AB290" s="79"/>
      <c r="AC290" s="79"/>
      <c r="AD290" s="79"/>
      <c r="AE290" s="79"/>
      <c r="AF290" s="79"/>
      <c r="AG290" s="79"/>
      <c r="AH290" s="79"/>
      <c r="AI290" s="79"/>
      <c r="AJ290" s="125"/>
      <c r="AK290" s="79"/>
      <c r="AL290" s="79"/>
      <c r="AM290" s="79"/>
      <c r="AN290" s="79"/>
      <c r="AO290" s="79"/>
      <c r="AP290" s="79"/>
      <c r="AQ290" s="79"/>
    </row>
    <row r="291" spans="28:43" x14ac:dyDescent="0.3">
      <c r="AB291" s="79"/>
      <c r="AC291" s="79"/>
      <c r="AD291" s="79"/>
      <c r="AE291" s="79"/>
      <c r="AF291" s="79"/>
      <c r="AG291" s="79"/>
      <c r="AH291" s="79"/>
      <c r="AI291" s="79"/>
      <c r="AJ291" s="125"/>
      <c r="AK291" s="79"/>
      <c r="AL291" s="79"/>
      <c r="AM291" s="79"/>
      <c r="AN291" s="79"/>
      <c r="AO291" s="79"/>
      <c r="AP291" s="79"/>
      <c r="AQ291" s="79"/>
    </row>
    <row r="292" spans="28:43" x14ac:dyDescent="0.3">
      <c r="AB292" s="79"/>
      <c r="AC292" s="79"/>
      <c r="AD292" s="79"/>
      <c r="AE292" s="79"/>
      <c r="AF292" s="79"/>
      <c r="AG292" s="79"/>
      <c r="AH292" s="79"/>
      <c r="AI292" s="79"/>
      <c r="AJ292" s="125"/>
      <c r="AK292" s="79"/>
      <c r="AL292" s="79"/>
      <c r="AM292" s="79"/>
      <c r="AN292" s="79"/>
      <c r="AO292" s="79"/>
      <c r="AP292" s="79"/>
      <c r="AQ292" s="79"/>
    </row>
    <row r="293" spans="28:43" x14ac:dyDescent="0.3">
      <c r="AB293" s="79"/>
      <c r="AC293" s="79"/>
      <c r="AD293" s="79"/>
      <c r="AE293" s="79"/>
      <c r="AF293" s="79"/>
      <c r="AG293" s="79"/>
      <c r="AH293" s="79"/>
      <c r="AI293" s="79"/>
      <c r="AJ293" s="125"/>
      <c r="AK293" s="79"/>
      <c r="AL293" s="79"/>
      <c r="AM293" s="79"/>
      <c r="AN293" s="79"/>
      <c r="AO293" s="79"/>
      <c r="AP293" s="79"/>
      <c r="AQ293" s="79"/>
    </row>
    <row r="294" spans="28:43" x14ac:dyDescent="0.3">
      <c r="AB294" s="79"/>
      <c r="AC294" s="79"/>
      <c r="AD294" s="79"/>
      <c r="AE294" s="79"/>
      <c r="AF294" s="79"/>
      <c r="AG294" s="79"/>
      <c r="AH294" s="79"/>
      <c r="AI294" s="79"/>
      <c r="AJ294" s="125"/>
      <c r="AK294" s="79"/>
      <c r="AL294" s="79"/>
      <c r="AM294" s="79"/>
      <c r="AN294" s="79"/>
      <c r="AO294" s="79"/>
      <c r="AP294" s="79"/>
      <c r="AQ294" s="79"/>
    </row>
    <row r="295" spans="28:43" x14ac:dyDescent="0.3">
      <c r="AB295" s="79"/>
      <c r="AC295" s="79"/>
      <c r="AD295" s="79"/>
      <c r="AE295" s="79"/>
      <c r="AF295" s="79"/>
      <c r="AG295" s="79"/>
      <c r="AH295" s="79"/>
      <c r="AI295" s="79"/>
      <c r="AJ295" s="125"/>
      <c r="AK295" s="79"/>
      <c r="AL295" s="79"/>
      <c r="AM295" s="79"/>
      <c r="AN295" s="79"/>
      <c r="AO295" s="79"/>
      <c r="AP295" s="79"/>
      <c r="AQ295" s="79"/>
    </row>
    <row r="296" spans="28:43" x14ac:dyDescent="0.3">
      <c r="AB296" s="79"/>
      <c r="AC296" s="79"/>
      <c r="AD296" s="79"/>
      <c r="AE296" s="79"/>
      <c r="AF296" s="79"/>
      <c r="AG296" s="79"/>
      <c r="AH296" s="79"/>
      <c r="AI296" s="79"/>
      <c r="AJ296" s="125"/>
      <c r="AK296" s="79"/>
      <c r="AL296" s="79"/>
      <c r="AM296" s="79"/>
      <c r="AN296" s="79"/>
      <c r="AO296" s="79"/>
      <c r="AP296" s="79"/>
      <c r="AQ296" s="79"/>
    </row>
    <row r="297" spans="28:43" x14ac:dyDescent="0.3">
      <c r="AB297" s="79"/>
      <c r="AC297" s="79"/>
      <c r="AD297" s="79"/>
      <c r="AE297" s="79"/>
      <c r="AF297" s="79"/>
      <c r="AG297" s="79"/>
      <c r="AH297" s="79"/>
      <c r="AI297" s="79"/>
      <c r="AJ297" s="125"/>
      <c r="AK297" s="79"/>
      <c r="AL297" s="79"/>
      <c r="AM297" s="79"/>
      <c r="AN297" s="79"/>
      <c r="AO297" s="79"/>
      <c r="AP297" s="79"/>
      <c r="AQ297" s="79"/>
    </row>
    <row r="298" spans="28:43" x14ac:dyDescent="0.3">
      <c r="AB298" s="79"/>
      <c r="AC298" s="79"/>
      <c r="AD298" s="79"/>
      <c r="AE298" s="79"/>
      <c r="AF298" s="79"/>
      <c r="AG298" s="79"/>
      <c r="AH298" s="79"/>
      <c r="AI298" s="79"/>
      <c r="AJ298" s="125"/>
      <c r="AK298" s="79"/>
      <c r="AL298" s="79"/>
      <c r="AM298" s="79"/>
      <c r="AN298" s="79"/>
      <c r="AO298" s="79"/>
      <c r="AP298" s="79"/>
      <c r="AQ298" s="79"/>
    </row>
    <row r="299" spans="28:43" x14ac:dyDescent="0.3">
      <c r="AB299" s="79"/>
      <c r="AC299" s="79"/>
      <c r="AD299" s="79"/>
      <c r="AE299" s="79"/>
      <c r="AF299" s="79"/>
      <c r="AG299" s="79"/>
      <c r="AH299" s="79"/>
      <c r="AI299" s="79"/>
      <c r="AJ299" s="125"/>
      <c r="AK299" s="79"/>
      <c r="AL299" s="79"/>
      <c r="AM299" s="79"/>
      <c r="AN299" s="79"/>
      <c r="AO299" s="79"/>
      <c r="AP299" s="79"/>
      <c r="AQ299" s="79"/>
    </row>
    <row r="300" spans="28:43" x14ac:dyDescent="0.3">
      <c r="AB300" s="79"/>
      <c r="AC300" s="79"/>
      <c r="AD300" s="79"/>
      <c r="AE300" s="79"/>
      <c r="AF300" s="79"/>
      <c r="AG300" s="79"/>
      <c r="AH300" s="79"/>
      <c r="AI300" s="79"/>
      <c r="AJ300" s="125"/>
      <c r="AK300" s="79"/>
      <c r="AL300" s="79"/>
      <c r="AM300" s="79"/>
      <c r="AN300" s="79"/>
      <c r="AO300" s="79"/>
      <c r="AP300" s="79"/>
      <c r="AQ300" s="79"/>
    </row>
    <row r="301" spans="28:43" x14ac:dyDescent="0.3">
      <c r="AB301" s="79"/>
      <c r="AC301" s="79"/>
      <c r="AD301" s="79"/>
      <c r="AE301" s="79"/>
      <c r="AF301" s="79"/>
      <c r="AG301" s="79"/>
      <c r="AH301" s="79"/>
      <c r="AI301" s="79"/>
      <c r="AJ301" s="125"/>
      <c r="AK301" s="79"/>
      <c r="AL301" s="79"/>
      <c r="AM301" s="79"/>
      <c r="AN301" s="79"/>
      <c r="AO301" s="79"/>
      <c r="AP301" s="79"/>
      <c r="AQ301" s="79"/>
    </row>
    <row r="302" spans="28:43" x14ac:dyDescent="0.3">
      <c r="AB302" s="79"/>
      <c r="AC302" s="79"/>
      <c r="AD302" s="79"/>
      <c r="AE302" s="79"/>
      <c r="AF302" s="79"/>
      <c r="AG302" s="79"/>
      <c r="AH302" s="79"/>
      <c r="AI302" s="79"/>
      <c r="AJ302" s="125"/>
      <c r="AK302" s="79"/>
      <c r="AL302" s="79"/>
      <c r="AM302" s="79"/>
      <c r="AN302" s="79"/>
      <c r="AO302" s="79"/>
      <c r="AP302" s="79"/>
      <c r="AQ302" s="79"/>
    </row>
    <row r="303" spans="28:43" x14ac:dyDescent="0.3">
      <c r="AB303" s="79"/>
      <c r="AC303" s="79"/>
      <c r="AD303" s="79"/>
      <c r="AE303" s="79"/>
      <c r="AF303" s="79"/>
      <c r="AG303" s="79"/>
      <c r="AH303" s="79"/>
      <c r="AI303" s="79"/>
      <c r="AJ303" s="125"/>
      <c r="AK303" s="79"/>
      <c r="AL303" s="79"/>
      <c r="AM303" s="79"/>
      <c r="AN303" s="79"/>
      <c r="AO303" s="79"/>
      <c r="AP303" s="79"/>
      <c r="AQ303" s="79"/>
    </row>
    <row r="304" spans="28:43" x14ac:dyDescent="0.3">
      <c r="AB304" s="79"/>
      <c r="AC304" s="79"/>
      <c r="AD304" s="79"/>
      <c r="AE304" s="79"/>
      <c r="AF304" s="79"/>
      <c r="AG304" s="79"/>
      <c r="AH304" s="79"/>
      <c r="AI304" s="79"/>
      <c r="AJ304" s="125"/>
      <c r="AK304" s="79"/>
      <c r="AL304" s="79"/>
      <c r="AM304" s="79"/>
      <c r="AN304" s="79"/>
      <c r="AO304" s="79"/>
      <c r="AP304" s="79"/>
      <c r="AQ304" s="79"/>
    </row>
    <row r="305" spans="28:43" x14ac:dyDescent="0.3">
      <c r="AB305" s="79"/>
      <c r="AC305" s="79"/>
      <c r="AD305" s="79"/>
      <c r="AE305" s="79"/>
      <c r="AF305" s="79"/>
      <c r="AG305" s="79"/>
      <c r="AH305" s="79"/>
      <c r="AI305" s="79"/>
      <c r="AJ305" s="125"/>
      <c r="AK305" s="79"/>
      <c r="AL305" s="79"/>
      <c r="AM305" s="79"/>
      <c r="AN305" s="79"/>
      <c r="AO305" s="79"/>
      <c r="AP305" s="79"/>
      <c r="AQ305" s="79"/>
    </row>
    <row r="306" spans="28:43" x14ac:dyDescent="0.3">
      <c r="AB306" s="79"/>
      <c r="AC306" s="79"/>
      <c r="AD306" s="79"/>
      <c r="AE306" s="79"/>
      <c r="AF306" s="79"/>
      <c r="AG306" s="79"/>
      <c r="AH306" s="79"/>
      <c r="AI306" s="79"/>
      <c r="AJ306" s="125"/>
      <c r="AK306" s="79"/>
      <c r="AL306" s="79"/>
      <c r="AM306" s="79"/>
      <c r="AN306" s="79"/>
      <c r="AO306" s="79"/>
      <c r="AP306" s="79"/>
      <c r="AQ306" s="79"/>
    </row>
    <row r="307" spans="28:43" x14ac:dyDescent="0.3">
      <c r="AB307" s="79"/>
      <c r="AC307" s="79"/>
      <c r="AD307" s="79"/>
      <c r="AE307" s="79"/>
      <c r="AF307" s="79"/>
      <c r="AG307" s="79"/>
      <c r="AH307" s="79"/>
      <c r="AI307" s="79"/>
      <c r="AJ307" s="125"/>
      <c r="AK307" s="79"/>
      <c r="AL307" s="79"/>
      <c r="AM307" s="79"/>
      <c r="AN307" s="79"/>
      <c r="AO307" s="79"/>
      <c r="AP307" s="79"/>
      <c r="AQ307" s="79"/>
    </row>
    <row r="308" spans="28:43" x14ac:dyDescent="0.3">
      <c r="AB308" s="79"/>
      <c r="AC308" s="79"/>
      <c r="AD308" s="79"/>
      <c r="AE308" s="79"/>
      <c r="AF308" s="79"/>
      <c r="AG308" s="79"/>
      <c r="AH308" s="79"/>
      <c r="AI308" s="79"/>
      <c r="AJ308" s="125"/>
      <c r="AK308" s="79"/>
      <c r="AL308" s="79"/>
      <c r="AM308" s="79"/>
      <c r="AN308" s="79"/>
      <c r="AO308" s="79"/>
      <c r="AP308" s="79"/>
      <c r="AQ308" s="79"/>
    </row>
    <row r="309" spans="28:43" x14ac:dyDescent="0.3">
      <c r="AB309" s="79"/>
      <c r="AC309" s="79"/>
      <c r="AD309" s="79"/>
      <c r="AE309" s="79"/>
      <c r="AF309" s="79"/>
      <c r="AG309" s="79"/>
      <c r="AH309" s="79"/>
      <c r="AI309" s="79"/>
      <c r="AJ309" s="125"/>
      <c r="AK309" s="79"/>
      <c r="AL309" s="79"/>
      <c r="AM309" s="79"/>
      <c r="AN309" s="79"/>
      <c r="AO309" s="79"/>
      <c r="AP309" s="79"/>
      <c r="AQ309" s="79"/>
    </row>
    <row r="310" spans="28:43" x14ac:dyDescent="0.3">
      <c r="AB310" s="79"/>
      <c r="AC310" s="79"/>
      <c r="AD310" s="79"/>
      <c r="AE310" s="79"/>
      <c r="AF310" s="79"/>
      <c r="AG310" s="79"/>
      <c r="AH310" s="79"/>
      <c r="AI310" s="79"/>
      <c r="AJ310" s="125"/>
      <c r="AK310" s="79"/>
      <c r="AL310" s="79"/>
      <c r="AM310" s="79"/>
      <c r="AN310" s="79"/>
      <c r="AO310" s="79"/>
      <c r="AP310" s="79"/>
      <c r="AQ310" s="79"/>
    </row>
    <row r="311" spans="28:43" x14ac:dyDescent="0.3">
      <c r="AB311" s="79"/>
      <c r="AC311" s="79"/>
      <c r="AD311" s="79"/>
      <c r="AE311" s="79"/>
      <c r="AF311" s="79"/>
      <c r="AG311" s="79"/>
      <c r="AH311" s="79"/>
      <c r="AI311" s="79"/>
      <c r="AJ311" s="125"/>
      <c r="AK311" s="79"/>
      <c r="AL311" s="79"/>
      <c r="AM311" s="79"/>
      <c r="AN311" s="79"/>
      <c r="AO311" s="79"/>
      <c r="AP311" s="79"/>
      <c r="AQ311" s="79"/>
    </row>
    <row r="312" spans="28:43" x14ac:dyDescent="0.3">
      <c r="AB312" s="79"/>
      <c r="AC312" s="79"/>
      <c r="AD312" s="79"/>
      <c r="AE312" s="79"/>
      <c r="AF312" s="79"/>
      <c r="AG312" s="79"/>
      <c r="AH312" s="79"/>
      <c r="AI312" s="79"/>
      <c r="AJ312" s="125"/>
      <c r="AK312" s="79"/>
      <c r="AL312" s="79"/>
      <c r="AM312" s="79"/>
      <c r="AN312" s="79"/>
      <c r="AO312" s="79"/>
      <c r="AP312" s="79"/>
      <c r="AQ312" s="79"/>
    </row>
    <row r="313" spans="28:43" x14ac:dyDescent="0.3">
      <c r="AB313" s="79"/>
      <c r="AC313" s="79"/>
      <c r="AD313" s="79"/>
      <c r="AE313" s="79"/>
      <c r="AF313" s="79"/>
      <c r="AG313" s="79"/>
      <c r="AH313" s="79"/>
      <c r="AI313" s="79"/>
      <c r="AJ313" s="125"/>
      <c r="AK313" s="79"/>
      <c r="AL313" s="79"/>
      <c r="AM313" s="79"/>
      <c r="AN313" s="79"/>
      <c r="AO313" s="79"/>
      <c r="AP313" s="79"/>
      <c r="AQ313" s="79"/>
    </row>
    <row r="314" spans="28:43" x14ac:dyDescent="0.3">
      <c r="AB314" s="79"/>
      <c r="AC314" s="79"/>
      <c r="AD314" s="79"/>
      <c r="AE314" s="79"/>
      <c r="AF314" s="79"/>
      <c r="AG314" s="79"/>
      <c r="AH314" s="79"/>
      <c r="AI314" s="79"/>
      <c r="AJ314" s="125"/>
      <c r="AK314" s="79"/>
      <c r="AL314" s="79"/>
      <c r="AM314" s="79"/>
      <c r="AN314" s="79"/>
      <c r="AO314" s="79"/>
      <c r="AP314" s="79"/>
      <c r="AQ314" s="79"/>
    </row>
    <row r="315" spans="28:43" x14ac:dyDescent="0.3">
      <c r="AB315" s="79"/>
      <c r="AC315" s="79"/>
      <c r="AD315" s="79"/>
      <c r="AE315" s="79"/>
      <c r="AF315" s="79"/>
      <c r="AG315" s="79"/>
      <c r="AH315" s="79"/>
      <c r="AI315" s="79"/>
      <c r="AJ315" s="125"/>
      <c r="AK315" s="79"/>
      <c r="AL315" s="79"/>
      <c r="AM315" s="79"/>
      <c r="AN315" s="79"/>
      <c r="AO315" s="79"/>
      <c r="AP315" s="79"/>
      <c r="AQ315" s="79"/>
    </row>
    <row r="316" spans="28:43" x14ac:dyDescent="0.3">
      <c r="AB316" s="79"/>
      <c r="AC316" s="79"/>
      <c r="AD316" s="79"/>
      <c r="AE316" s="79"/>
      <c r="AF316" s="79"/>
      <c r="AG316" s="79"/>
      <c r="AH316" s="79"/>
      <c r="AI316" s="79"/>
      <c r="AJ316" s="125"/>
      <c r="AK316" s="79"/>
      <c r="AL316" s="79"/>
      <c r="AM316" s="79"/>
      <c r="AN316" s="79"/>
      <c r="AO316" s="79"/>
      <c r="AP316" s="79"/>
      <c r="AQ316" s="79"/>
    </row>
    <row r="317" spans="28:43" x14ac:dyDescent="0.3">
      <c r="AB317" s="79"/>
      <c r="AC317" s="79"/>
      <c r="AD317" s="79"/>
      <c r="AE317" s="79"/>
      <c r="AF317" s="79"/>
      <c r="AG317" s="79"/>
      <c r="AH317" s="79"/>
      <c r="AI317" s="79"/>
      <c r="AJ317" s="125"/>
      <c r="AK317" s="79"/>
      <c r="AL317" s="79"/>
      <c r="AM317" s="79"/>
      <c r="AN317" s="79"/>
      <c r="AO317" s="79"/>
      <c r="AP317" s="79"/>
      <c r="AQ317" s="79"/>
    </row>
    <row r="318" spans="28:43" x14ac:dyDescent="0.3">
      <c r="AB318" s="79"/>
      <c r="AC318" s="79"/>
      <c r="AD318" s="79"/>
      <c r="AE318" s="79"/>
      <c r="AF318" s="79"/>
      <c r="AG318" s="79"/>
      <c r="AH318" s="79"/>
      <c r="AI318" s="79"/>
      <c r="AJ318" s="125"/>
      <c r="AK318" s="79"/>
      <c r="AL318" s="79"/>
      <c r="AM318" s="79"/>
      <c r="AN318" s="79"/>
      <c r="AO318" s="79"/>
      <c r="AP318" s="79"/>
      <c r="AQ318" s="79"/>
    </row>
    <row r="319" spans="28:43" x14ac:dyDescent="0.3">
      <c r="AB319" s="79"/>
      <c r="AC319" s="79"/>
      <c r="AD319" s="79"/>
      <c r="AE319" s="79"/>
      <c r="AF319" s="79"/>
      <c r="AG319" s="79"/>
      <c r="AH319" s="79"/>
      <c r="AI319" s="79"/>
      <c r="AJ319" s="125"/>
      <c r="AK319" s="79"/>
      <c r="AL319" s="79"/>
      <c r="AM319" s="79"/>
      <c r="AN319" s="79"/>
      <c r="AO319" s="79"/>
      <c r="AP319" s="79"/>
      <c r="AQ319" s="79"/>
    </row>
    <row r="320" spans="28:43" x14ac:dyDescent="0.3">
      <c r="AB320" s="79"/>
      <c r="AC320" s="79"/>
      <c r="AD320" s="79"/>
      <c r="AE320" s="79"/>
      <c r="AF320" s="79"/>
      <c r="AG320" s="79"/>
      <c r="AH320" s="79"/>
      <c r="AI320" s="79"/>
      <c r="AJ320" s="125"/>
      <c r="AK320" s="79"/>
      <c r="AL320" s="79"/>
      <c r="AM320" s="79"/>
      <c r="AN320" s="79"/>
      <c r="AO320" s="79"/>
      <c r="AP320" s="79"/>
      <c r="AQ320" s="79"/>
    </row>
    <row r="321" spans="28:43" x14ac:dyDescent="0.3">
      <c r="AB321" s="79"/>
      <c r="AC321" s="79"/>
      <c r="AD321" s="79"/>
      <c r="AE321" s="79"/>
      <c r="AF321" s="79"/>
      <c r="AG321" s="79"/>
      <c r="AH321" s="79"/>
      <c r="AI321" s="79"/>
      <c r="AJ321" s="125"/>
      <c r="AK321" s="79"/>
      <c r="AL321" s="79"/>
      <c r="AM321" s="79"/>
      <c r="AN321" s="79"/>
      <c r="AO321" s="79"/>
      <c r="AP321" s="79"/>
      <c r="AQ321" s="79"/>
    </row>
    <row r="322" spans="28:43" x14ac:dyDescent="0.3">
      <c r="AB322" s="79"/>
      <c r="AC322" s="79"/>
      <c r="AD322" s="79"/>
      <c r="AE322" s="79"/>
      <c r="AF322" s="79"/>
      <c r="AG322" s="79"/>
      <c r="AH322" s="79"/>
      <c r="AI322" s="79"/>
      <c r="AJ322" s="125"/>
      <c r="AK322" s="79"/>
      <c r="AL322" s="79"/>
      <c r="AM322" s="79"/>
      <c r="AN322" s="79"/>
      <c r="AO322" s="79"/>
      <c r="AP322" s="79"/>
      <c r="AQ322" s="79"/>
    </row>
    <row r="323" spans="28:43" x14ac:dyDescent="0.3">
      <c r="AB323" s="79"/>
      <c r="AC323" s="79"/>
      <c r="AD323" s="79"/>
      <c r="AE323" s="79"/>
      <c r="AF323" s="79"/>
      <c r="AG323" s="79"/>
      <c r="AH323" s="79"/>
      <c r="AI323" s="79"/>
      <c r="AJ323" s="125"/>
      <c r="AK323" s="79"/>
      <c r="AL323" s="79"/>
      <c r="AM323" s="79"/>
      <c r="AN323" s="79"/>
      <c r="AO323" s="79"/>
      <c r="AP323" s="79"/>
      <c r="AQ323" s="79"/>
    </row>
    <row r="324" spans="28:43" x14ac:dyDescent="0.3">
      <c r="AB324" s="79"/>
      <c r="AC324" s="79"/>
      <c r="AD324" s="79"/>
      <c r="AE324" s="79"/>
      <c r="AF324" s="79"/>
      <c r="AG324" s="79"/>
      <c r="AH324" s="79"/>
      <c r="AI324" s="79"/>
      <c r="AJ324" s="125"/>
      <c r="AK324" s="79"/>
      <c r="AL324" s="79"/>
      <c r="AM324" s="79"/>
      <c r="AN324" s="79"/>
      <c r="AO324" s="79"/>
      <c r="AP324" s="79"/>
      <c r="AQ324" s="79"/>
    </row>
    <row r="325" spans="28:43" x14ac:dyDescent="0.3">
      <c r="AB325" s="79"/>
      <c r="AC325" s="79"/>
      <c r="AD325" s="79"/>
      <c r="AE325" s="79"/>
      <c r="AF325" s="79"/>
      <c r="AG325" s="79"/>
      <c r="AH325" s="79"/>
      <c r="AI325" s="79"/>
      <c r="AJ325" s="125"/>
      <c r="AK325" s="79"/>
      <c r="AL325" s="79"/>
      <c r="AM325" s="79"/>
      <c r="AN325" s="79"/>
      <c r="AO325" s="79"/>
      <c r="AP325" s="79"/>
      <c r="AQ325" s="79"/>
    </row>
    <row r="326" spans="28:43" x14ac:dyDescent="0.3">
      <c r="AB326" s="79"/>
      <c r="AC326" s="79"/>
      <c r="AD326" s="79"/>
      <c r="AE326" s="79"/>
      <c r="AF326" s="79"/>
      <c r="AG326" s="79"/>
      <c r="AH326" s="79"/>
      <c r="AI326" s="79"/>
      <c r="AJ326" s="125"/>
      <c r="AK326" s="79"/>
      <c r="AL326" s="79"/>
      <c r="AM326" s="79"/>
      <c r="AN326" s="79"/>
      <c r="AO326" s="79"/>
      <c r="AP326" s="79"/>
      <c r="AQ326" s="79"/>
    </row>
    <row r="327" spans="28:43" x14ac:dyDescent="0.3">
      <c r="AB327" s="79"/>
      <c r="AC327" s="79"/>
      <c r="AD327" s="79"/>
      <c r="AE327" s="79"/>
      <c r="AF327" s="79"/>
      <c r="AG327" s="79"/>
      <c r="AH327" s="79"/>
      <c r="AI327" s="79"/>
      <c r="AJ327" s="125"/>
      <c r="AK327" s="79"/>
      <c r="AL327" s="79"/>
      <c r="AM327" s="79"/>
      <c r="AN327" s="79"/>
      <c r="AO327" s="79"/>
      <c r="AP327" s="79"/>
      <c r="AQ327" s="79"/>
    </row>
    <row r="328" spans="28:43" x14ac:dyDescent="0.3">
      <c r="AB328" s="79"/>
      <c r="AC328" s="79"/>
      <c r="AD328" s="79"/>
      <c r="AE328" s="79"/>
      <c r="AF328" s="79"/>
      <c r="AG328" s="79"/>
      <c r="AH328" s="79"/>
      <c r="AI328" s="79"/>
      <c r="AJ328" s="125"/>
      <c r="AK328" s="79"/>
      <c r="AL328" s="79"/>
      <c r="AM328" s="79"/>
      <c r="AN328" s="79"/>
      <c r="AO328" s="79"/>
      <c r="AP328" s="79"/>
      <c r="AQ328" s="79"/>
    </row>
    <row r="329" spans="28:43" x14ac:dyDescent="0.3">
      <c r="AB329" s="79"/>
      <c r="AC329" s="79"/>
      <c r="AD329" s="79"/>
      <c r="AE329" s="79"/>
      <c r="AF329" s="79"/>
      <c r="AG329" s="79"/>
      <c r="AH329" s="79"/>
      <c r="AI329" s="79"/>
      <c r="AJ329" s="125"/>
      <c r="AK329" s="79"/>
      <c r="AL329" s="79"/>
      <c r="AM329" s="79"/>
      <c r="AN329" s="79"/>
      <c r="AO329" s="79"/>
      <c r="AP329" s="79"/>
      <c r="AQ329" s="79"/>
    </row>
    <row r="330" spans="28:43" x14ac:dyDescent="0.3">
      <c r="AB330" s="79"/>
      <c r="AC330" s="79"/>
      <c r="AD330" s="79"/>
      <c r="AE330" s="79"/>
      <c r="AF330" s="79"/>
      <c r="AG330" s="79"/>
      <c r="AH330" s="79"/>
      <c r="AI330" s="79"/>
      <c r="AJ330" s="125"/>
      <c r="AK330" s="79"/>
      <c r="AL330" s="79"/>
      <c r="AM330" s="79"/>
      <c r="AN330" s="79"/>
      <c r="AO330" s="79"/>
      <c r="AP330" s="79"/>
      <c r="AQ330" s="79"/>
    </row>
    <row r="331" spans="28:43" x14ac:dyDescent="0.3">
      <c r="AB331" s="79"/>
      <c r="AC331" s="79"/>
      <c r="AD331" s="79"/>
      <c r="AE331" s="79"/>
      <c r="AF331" s="79"/>
      <c r="AG331" s="79"/>
      <c r="AH331" s="79"/>
      <c r="AI331" s="79"/>
      <c r="AJ331" s="125"/>
      <c r="AK331" s="79"/>
      <c r="AL331" s="79"/>
      <c r="AM331" s="79"/>
      <c r="AN331" s="79"/>
      <c r="AO331" s="79"/>
      <c r="AP331" s="79"/>
      <c r="AQ331" s="79"/>
    </row>
    <row r="332" spans="28:43" x14ac:dyDescent="0.3">
      <c r="AB332" s="79"/>
      <c r="AC332" s="79"/>
      <c r="AD332" s="79"/>
      <c r="AE332" s="79"/>
      <c r="AF332" s="79"/>
      <c r="AG332" s="79"/>
      <c r="AH332" s="79"/>
      <c r="AI332" s="79"/>
      <c r="AJ332" s="125"/>
      <c r="AK332" s="79"/>
      <c r="AL332" s="79"/>
      <c r="AM332" s="79"/>
      <c r="AN332" s="79"/>
      <c r="AO332" s="79"/>
      <c r="AP332" s="79"/>
      <c r="AQ332" s="79"/>
    </row>
    <row r="333" spans="28:43" x14ac:dyDescent="0.3">
      <c r="AB333" s="79"/>
      <c r="AC333" s="79"/>
      <c r="AD333" s="79"/>
      <c r="AE333" s="79"/>
      <c r="AF333" s="79"/>
      <c r="AG333" s="79"/>
      <c r="AH333" s="79"/>
      <c r="AI333" s="79"/>
      <c r="AJ333" s="125"/>
      <c r="AK333" s="79"/>
      <c r="AL333" s="79"/>
      <c r="AM333" s="79"/>
      <c r="AN333" s="79"/>
      <c r="AO333" s="79"/>
      <c r="AP333" s="79"/>
      <c r="AQ333" s="79"/>
    </row>
    <row r="334" spans="28:43" x14ac:dyDescent="0.3">
      <c r="AB334" s="79"/>
      <c r="AC334" s="79"/>
      <c r="AD334" s="79"/>
      <c r="AE334" s="79"/>
      <c r="AF334" s="79"/>
      <c r="AG334" s="79"/>
      <c r="AH334" s="79"/>
      <c r="AI334" s="79"/>
      <c r="AJ334" s="125"/>
      <c r="AK334" s="79"/>
      <c r="AL334" s="79"/>
      <c r="AM334" s="79"/>
      <c r="AN334" s="79"/>
      <c r="AO334" s="79"/>
      <c r="AP334" s="79"/>
      <c r="AQ334" s="79"/>
    </row>
    <row r="335" spans="28:43" x14ac:dyDescent="0.3">
      <c r="AB335" s="79"/>
      <c r="AC335" s="79"/>
      <c r="AD335" s="79"/>
      <c r="AE335" s="79"/>
      <c r="AF335" s="79"/>
      <c r="AG335" s="79"/>
      <c r="AH335" s="79"/>
      <c r="AI335" s="79"/>
      <c r="AJ335" s="125"/>
      <c r="AK335" s="79"/>
      <c r="AL335" s="79"/>
      <c r="AM335" s="79"/>
      <c r="AN335" s="79"/>
      <c r="AO335" s="79"/>
      <c r="AP335" s="79"/>
      <c r="AQ335" s="79"/>
    </row>
    <row r="336" spans="28:43" x14ac:dyDescent="0.3">
      <c r="AB336" s="79"/>
      <c r="AC336" s="79"/>
      <c r="AD336" s="79"/>
      <c r="AE336" s="79"/>
      <c r="AF336" s="79"/>
      <c r="AG336" s="79"/>
      <c r="AH336" s="79"/>
      <c r="AI336" s="79"/>
      <c r="AJ336" s="125"/>
      <c r="AK336" s="79"/>
      <c r="AL336" s="79"/>
      <c r="AM336" s="79"/>
      <c r="AN336" s="79"/>
      <c r="AO336" s="79"/>
      <c r="AP336" s="79"/>
      <c r="AQ336" s="79"/>
    </row>
    <row r="337" spans="28:43" x14ac:dyDescent="0.3">
      <c r="AB337" s="79"/>
      <c r="AC337" s="79"/>
      <c r="AD337" s="79"/>
      <c r="AE337" s="79"/>
      <c r="AF337" s="79"/>
      <c r="AG337" s="79"/>
      <c r="AH337" s="79"/>
      <c r="AI337" s="79"/>
      <c r="AJ337" s="125"/>
      <c r="AK337" s="79"/>
      <c r="AL337" s="79"/>
      <c r="AM337" s="79"/>
      <c r="AN337" s="79"/>
      <c r="AO337" s="79"/>
      <c r="AP337" s="79"/>
      <c r="AQ337" s="79"/>
    </row>
    <row r="338" spans="28:43" x14ac:dyDescent="0.3">
      <c r="AB338" s="79"/>
      <c r="AC338" s="79"/>
      <c r="AD338" s="79"/>
      <c r="AE338" s="79"/>
      <c r="AF338" s="79"/>
      <c r="AG338" s="79"/>
      <c r="AH338" s="79"/>
      <c r="AI338" s="79"/>
      <c r="AJ338" s="125"/>
      <c r="AK338" s="79"/>
      <c r="AL338" s="79"/>
      <c r="AM338" s="79"/>
      <c r="AN338" s="79"/>
      <c r="AO338" s="79"/>
      <c r="AP338" s="79"/>
      <c r="AQ338" s="79"/>
    </row>
    <row r="339" spans="28:43" x14ac:dyDescent="0.3">
      <c r="AB339" s="79"/>
      <c r="AC339" s="79"/>
      <c r="AD339" s="79"/>
      <c r="AE339" s="79"/>
      <c r="AF339" s="79"/>
      <c r="AG339" s="79"/>
      <c r="AH339" s="79"/>
      <c r="AI339" s="79"/>
      <c r="AJ339" s="125"/>
      <c r="AK339" s="79"/>
      <c r="AL339" s="79"/>
      <c r="AM339" s="79"/>
      <c r="AN339" s="79"/>
      <c r="AO339" s="79"/>
      <c r="AP339" s="79"/>
      <c r="AQ339" s="79"/>
    </row>
    <row r="340" spans="28:43" x14ac:dyDescent="0.3">
      <c r="AB340" s="79"/>
      <c r="AC340" s="79"/>
      <c r="AD340" s="79"/>
      <c r="AE340" s="79"/>
      <c r="AF340" s="79"/>
      <c r="AG340" s="79"/>
      <c r="AH340" s="79"/>
      <c r="AI340" s="79"/>
      <c r="AJ340" s="125"/>
      <c r="AK340" s="79"/>
      <c r="AL340" s="79"/>
      <c r="AM340" s="79"/>
      <c r="AN340" s="79"/>
      <c r="AO340" s="79"/>
      <c r="AP340" s="79"/>
      <c r="AQ340" s="79"/>
    </row>
    <row r="341" spans="28:43" x14ac:dyDescent="0.3">
      <c r="AB341" s="79"/>
      <c r="AC341" s="79"/>
      <c r="AD341" s="79"/>
      <c r="AE341" s="79"/>
      <c r="AF341" s="79"/>
      <c r="AG341" s="79"/>
      <c r="AH341" s="79"/>
      <c r="AI341" s="79"/>
      <c r="AJ341" s="125"/>
      <c r="AK341" s="79"/>
      <c r="AL341" s="79"/>
      <c r="AM341" s="79"/>
      <c r="AN341" s="79"/>
      <c r="AO341" s="79"/>
      <c r="AP341" s="79"/>
      <c r="AQ341" s="79"/>
    </row>
    <row r="342" spans="28:43" x14ac:dyDescent="0.3">
      <c r="AB342" s="79"/>
      <c r="AC342" s="79"/>
      <c r="AD342" s="79"/>
      <c r="AE342" s="79"/>
      <c r="AF342" s="79"/>
      <c r="AG342" s="79"/>
      <c r="AH342" s="79"/>
      <c r="AI342" s="79"/>
      <c r="AJ342" s="125"/>
      <c r="AK342" s="79"/>
      <c r="AL342" s="79"/>
      <c r="AM342" s="79"/>
      <c r="AN342" s="79"/>
      <c r="AO342" s="79"/>
      <c r="AP342" s="79"/>
      <c r="AQ342" s="79"/>
    </row>
    <row r="343" spans="28:43" x14ac:dyDescent="0.3">
      <c r="AB343" s="79"/>
      <c r="AC343" s="79"/>
      <c r="AD343" s="79"/>
      <c r="AE343" s="79"/>
      <c r="AF343" s="79"/>
      <c r="AG343" s="79"/>
      <c r="AH343" s="79"/>
      <c r="AI343" s="79"/>
      <c r="AJ343" s="125"/>
      <c r="AK343" s="79"/>
      <c r="AL343" s="79"/>
      <c r="AM343" s="79"/>
      <c r="AN343" s="79"/>
      <c r="AO343" s="79"/>
      <c r="AP343" s="79"/>
      <c r="AQ343" s="79"/>
    </row>
    <row r="344" spans="28:43" x14ac:dyDescent="0.3">
      <c r="AB344" s="79"/>
      <c r="AC344" s="79"/>
      <c r="AD344" s="79"/>
      <c r="AE344" s="79"/>
      <c r="AF344" s="79"/>
      <c r="AG344" s="79"/>
      <c r="AH344" s="79"/>
      <c r="AI344" s="79"/>
      <c r="AJ344" s="125"/>
      <c r="AK344" s="79"/>
      <c r="AL344" s="79"/>
      <c r="AM344" s="79"/>
      <c r="AN344" s="79"/>
      <c r="AO344" s="79"/>
      <c r="AP344" s="79"/>
      <c r="AQ344" s="79"/>
    </row>
    <row r="345" spans="28:43" x14ac:dyDescent="0.3">
      <c r="AB345" s="79"/>
      <c r="AC345" s="79"/>
      <c r="AD345" s="79"/>
      <c r="AE345" s="79"/>
      <c r="AF345" s="79"/>
      <c r="AG345" s="79"/>
      <c r="AH345" s="79"/>
      <c r="AI345" s="79"/>
      <c r="AJ345" s="125"/>
      <c r="AK345" s="79"/>
      <c r="AL345" s="79"/>
      <c r="AM345" s="79"/>
      <c r="AN345" s="79"/>
      <c r="AO345" s="79"/>
      <c r="AP345" s="79"/>
      <c r="AQ345" s="79"/>
    </row>
    <row r="346" spans="28:43" x14ac:dyDescent="0.3">
      <c r="AB346" s="79"/>
      <c r="AC346" s="79"/>
      <c r="AD346" s="79"/>
      <c r="AE346" s="79"/>
      <c r="AF346" s="79"/>
      <c r="AG346" s="79"/>
      <c r="AH346" s="79"/>
      <c r="AI346" s="79"/>
      <c r="AJ346" s="125"/>
      <c r="AK346" s="79"/>
      <c r="AL346" s="79"/>
      <c r="AM346" s="79"/>
      <c r="AN346" s="79"/>
      <c r="AO346" s="79"/>
      <c r="AP346" s="79"/>
      <c r="AQ346" s="79"/>
    </row>
    <row r="347" spans="28:43" x14ac:dyDescent="0.3">
      <c r="AB347" s="79"/>
      <c r="AC347" s="79"/>
      <c r="AD347" s="79"/>
      <c r="AE347" s="79"/>
      <c r="AF347" s="79"/>
      <c r="AG347" s="79"/>
      <c r="AH347" s="79"/>
      <c r="AI347" s="79"/>
      <c r="AJ347" s="125"/>
      <c r="AK347" s="79"/>
      <c r="AL347" s="79"/>
      <c r="AM347" s="79"/>
      <c r="AN347" s="79"/>
      <c r="AO347" s="79"/>
      <c r="AP347" s="79"/>
      <c r="AQ347" s="79"/>
    </row>
    <row r="348" spans="28:43" x14ac:dyDescent="0.3">
      <c r="AB348" s="79"/>
      <c r="AC348" s="79"/>
      <c r="AD348" s="79"/>
      <c r="AE348" s="79"/>
      <c r="AF348" s="79"/>
      <c r="AG348" s="79"/>
      <c r="AH348" s="79"/>
      <c r="AI348" s="79"/>
      <c r="AJ348" s="125"/>
      <c r="AK348" s="79"/>
      <c r="AL348" s="79"/>
      <c r="AM348" s="79"/>
      <c r="AN348" s="79"/>
      <c r="AO348" s="79"/>
      <c r="AP348" s="79"/>
      <c r="AQ348" s="79"/>
    </row>
    <row r="349" spans="28:43" x14ac:dyDescent="0.3">
      <c r="AB349" s="79"/>
      <c r="AC349" s="79"/>
      <c r="AD349" s="79"/>
      <c r="AE349" s="79"/>
      <c r="AF349" s="79"/>
      <c r="AG349" s="79"/>
      <c r="AH349" s="79"/>
      <c r="AI349" s="79"/>
      <c r="AJ349" s="125"/>
      <c r="AK349" s="79"/>
      <c r="AL349" s="79"/>
      <c r="AM349" s="79"/>
      <c r="AN349" s="79"/>
      <c r="AO349" s="79"/>
      <c r="AP349" s="79"/>
      <c r="AQ349" s="79"/>
    </row>
    <row r="350" spans="28:43" x14ac:dyDescent="0.3">
      <c r="AB350" s="79"/>
      <c r="AC350" s="79"/>
      <c r="AD350" s="79"/>
      <c r="AE350" s="79"/>
      <c r="AF350" s="79"/>
      <c r="AG350" s="79"/>
      <c r="AH350" s="79"/>
      <c r="AI350" s="79"/>
      <c r="AJ350" s="125"/>
      <c r="AK350" s="79"/>
      <c r="AL350" s="79"/>
      <c r="AM350" s="79"/>
      <c r="AN350" s="79"/>
      <c r="AO350" s="79"/>
      <c r="AP350" s="79"/>
      <c r="AQ350" s="79"/>
    </row>
    <row r="351" spans="28:43" x14ac:dyDescent="0.3">
      <c r="AB351" s="79"/>
      <c r="AC351" s="79"/>
      <c r="AD351" s="79"/>
      <c r="AE351" s="79"/>
      <c r="AF351" s="79"/>
      <c r="AG351" s="79"/>
      <c r="AH351" s="79"/>
      <c r="AI351" s="79"/>
      <c r="AJ351" s="125"/>
      <c r="AK351" s="79"/>
      <c r="AL351" s="79"/>
      <c r="AM351" s="79"/>
      <c r="AN351" s="79"/>
      <c r="AO351" s="79"/>
      <c r="AP351" s="79"/>
      <c r="AQ351" s="79"/>
    </row>
    <row r="352" spans="28:43" x14ac:dyDescent="0.3">
      <c r="AB352" s="79"/>
      <c r="AC352" s="79"/>
      <c r="AD352" s="79"/>
      <c r="AE352" s="79"/>
      <c r="AF352" s="79"/>
      <c r="AG352" s="79"/>
      <c r="AH352" s="79"/>
      <c r="AI352" s="79"/>
      <c r="AJ352" s="125"/>
      <c r="AK352" s="79"/>
      <c r="AL352" s="79"/>
      <c r="AM352" s="79"/>
      <c r="AN352" s="79"/>
      <c r="AO352" s="79"/>
      <c r="AP352" s="79"/>
      <c r="AQ352" s="79"/>
    </row>
    <row r="353" spans="28:43" x14ac:dyDescent="0.3">
      <c r="AB353" s="79"/>
      <c r="AC353" s="79"/>
      <c r="AD353" s="79"/>
      <c r="AE353" s="79"/>
      <c r="AF353" s="79"/>
      <c r="AG353" s="79"/>
      <c r="AH353" s="79"/>
      <c r="AI353" s="79"/>
      <c r="AJ353" s="125"/>
      <c r="AK353" s="79"/>
      <c r="AL353" s="79"/>
      <c r="AM353" s="79"/>
      <c r="AN353" s="79"/>
      <c r="AO353" s="79"/>
      <c r="AP353" s="79"/>
      <c r="AQ353" s="79"/>
    </row>
    <row r="354" spans="28:43" x14ac:dyDescent="0.3">
      <c r="AB354" s="79"/>
      <c r="AC354" s="79"/>
      <c r="AD354" s="79"/>
      <c r="AE354" s="79"/>
      <c r="AF354" s="79"/>
      <c r="AG354" s="79"/>
      <c r="AH354" s="79"/>
      <c r="AI354" s="79"/>
      <c r="AJ354" s="125"/>
      <c r="AK354" s="79"/>
      <c r="AL354" s="79"/>
      <c r="AM354" s="79"/>
      <c r="AN354" s="79"/>
      <c r="AO354" s="79"/>
      <c r="AP354" s="79"/>
      <c r="AQ354" s="79"/>
    </row>
    <row r="355" spans="28:43" x14ac:dyDescent="0.3">
      <c r="AB355" s="79"/>
      <c r="AC355" s="79"/>
      <c r="AD355" s="79"/>
      <c r="AE355" s="79"/>
      <c r="AF355" s="79"/>
      <c r="AG355" s="79"/>
      <c r="AH355" s="79"/>
      <c r="AI355" s="79"/>
      <c r="AJ355" s="125"/>
      <c r="AK355" s="79"/>
      <c r="AL355" s="79"/>
      <c r="AM355" s="79"/>
      <c r="AN355" s="79"/>
      <c r="AO355" s="79"/>
      <c r="AP355" s="79"/>
      <c r="AQ355" s="79"/>
    </row>
    <row r="356" spans="28:43" x14ac:dyDescent="0.3">
      <c r="AB356" s="79"/>
      <c r="AC356" s="79"/>
      <c r="AD356" s="79"/>
      <c r="AE356" s="79"/>
      <c r="AF356" s="79"/>
      <c r="AG356" s="79"/>
      <c r="AH356" s="79"/>
      <c r="AI356" s="79"/>
      <c r="AJ356" s="125"/>
      <c r="AK356" s="79"/>
      <c r="AL356" s="79"/>
      <c r="AM356" s="79"/>
      <c r="AN356" s="79"/>
      <c r="AO356" s="79"/>
      <c r="AP356" s="79"/>
      <c r="AQ356" s="79"/>
    </row>
    <row r="357" spans="28:43" x14ac:dyDescent="0.3">
      <c r="AB357" s="79"/>
      <c r="AC357" s="79"/>
      <c r="AD357" s="79"/>
      <c r="AE357" s="79"/>
      <c r="AF357" s="79"/>
      <c r="AG357" s="79"/>
      <c r="AH357" s="79"/>
      <c r="AI357" s="79"/>
      <c r="AJ357" s="125"/>
      <c r="AK357" s="79"/>
      <c r="AL357" s="79"/>
      <c r="AM357" s="79"/>
      <c r="AN357" s="79"/>
      <c r="AO357" s="79"/>
      <c r="AP357" s="79"/>
      <c r="AQ357" s="79"/>
    </row>
    <row r="358" spans="28:43" x14ac:dyDescent="0.3">
      <c r="AB358" s="79"/>
      <c r="AC358" s="79"/>
      <c r="AD358" s="79"/>
      <c r="AE358" s="79"/>
      <c r="AF358" s="79"/>
      <c r="AG358" s="79"/>
      <c r="AH358" s="79"/>
      <c r="AI358" s="79"/>
      <c r="AJ358" s="125"/>
      <c r="AK358" s="79"/>
      <c r="AL358" s="79"/>
      <c r="AM358" s="79"/>
      <c r="AN358" s="79"/>
      <c r="AO358" s="79"/>
      <c r="AP358" s="79"/>
      <c r="AQ358" s="79"/>
    </row>
    <row r="359" spans="28:43" x14ac:dyDescent="0.3">
      <c r="AB359" s="79"/>
      <c r="AC359" s="79"/>
      <c r="AD359" s="79"/>
      <c r="AE359" s="79"/>
      <c r="AF359" s="79"/>
      <c r="AG359" s="79"/>
      <c r="AH359" s="79"/>
      <c r="AI359" s="79"/>
      <c r="AJ359" s="125"/>
      <c r="AK359" s="79"/>
      <c r="AL359" s="79"/>
      <c r="AM359" s="79"/>
      <c r="AN359" s="79"/>
      <c r="AO359" s="79"/>
      <c r="AP359" s="79"/>
      <c r="AQ359" s="79"/>
    </row>
    <row r="360" spans="28:43" x14ac:dyDescent="0.3">
      <c r="AB360" s="79"/>
      <c r="AC360" s="79"/>
      <c r="AD360" s="79"/>
      <c r="AE360" s="79"/>
      <c r="AF360" s="79"/>
      <c r="AG360" s="79"/>
      <c r="AH360" s="79"/>
      <c r="AI360" s="79"/>
      <c r="AJ360" s="125"/>
      <c r="AK360" s="79"/>
      <c r="AL360" s="79"/>
      <c r="AM360" s="79"/>
      <c r="AN360" s="79"/>
      <c r="AO360" s="79"/>
      <c r="AP360" s="79"/>
      <c r="AQ360" s="79"/>
    </row>
    <row r="361" spans="28:43" x14ac:dyDescent="0.3">
      <c r="AB361" s="79"/>
      <c r="AC361" s="79"/>
      <c r="AD361" s="79"/>
      <c r="AE361" s="79"/>
      <c r="AF361" s="79"/>
      <c r="AG361" s="79"/>
      <c r="AH361" s="79"/>
      <c r="AI361" s="79"/>
      <c r="AJ361" s="125"/>
      <c r="AK361" s="79"/>
      <c r="AL361" s="79"/>
      <c r="AM361" s="79"/>
      <c r="AN361" s="79"/>
      <c r="AO361" s="79"/>
      <c r="AP361" s="79"/>
      <c r="AQ361" s="79"/>
    </row>
    <row r="362" spans="28:43" x14ac:dyDescent="0.3">
      <c r="AB362" s="79"/>
      <c r="AC362" s="79"/>
      <c r="AD362" s="79"/>
      <c r="AE362" s="79"/>
      <c r="AF362" s="79"/>
      <c r="AG362" s="79"/>
      <c r="AH362" s="79"/>
      <c r="AI362" s="79"/>
      <c r="AJ362" s="125"/>
      <c r="AK362" s="79"/>
      <c r="AL362" s="79"/>
      <c r="AM362" s="79"/>
      <c r="AN362" s="79"/>
      <c r="AO362" s="79"/>
      <c r="AP362" s="79"/>
      <c r="AQ362" s="79"/>
    </row>
    <row r="363" spans="28:43" x14ac:dyDescent="0.3">
      <c r="AB363" s="79"/>
      <c r="AC363" s="79"/>
      <c r="AD363" s="79"/>
      <c r="AE363" s="79"/>
      <c r="AF363" s="79"/>
      <c r="AG363" s="79"/>
      <c r="AH363" s="79"/>
      <c r="AI363" s="79"/>
      <c r="AJ363" s="125"/>
      <c r="AK363" s="79"/>
      <c r="AL363" s="79"/>
      <c r="AM363" s="79"/>
      <c r="AN363" s="79"/>
      <c r="AO363" s="79"/>
      <c r="AP363" s="79"/>
      <c r="AQ363" s="79"/>
    </row>
    <row r="364" spans="28:43" x14ac:dyDescent="0.3">
      <c r="AB364" s="79"/>
      <c r="AC364" s="79"/>
      <c r="AD364" s="79"/>
      <c r="AE364" s="79"/>
      <c r="AF364" s="79"/>
      <c r="AG364" s="79"/>
      <c r="AH364" s="79"/>
      <c r="AI364" s="79"/>
      <c r="AJ364" s="125"/>
      <c r="AK364" s="79"/>
      <c r="AL364" s="79"/>
      <c r="AM364" s="79"/>
      <c r="AN364" s="79"/>
      <c r="AO364" s="79"/>
      <c r="AP364" s="79"/>
      <c r="AQ364" s="79"/>
    </row>
    <row r="365" spans="28:43" x14ac:dyDescent="0.3">
      <c r="AB365" s="79"/>
      <c r="AC365" s="79"/>
      <c r="AD365" s="79"/>
      <c r="AE365" s="79"/>
      <c r="AF365" s="79"/>
      <c r="AG365" s="79"/>
      <c r="AH365" s="79"/>
      <c r="AI365" s="79"/>
      <c r="AJ365" s="125"/>
      <c r="AK365" s="79"/>
      <c r="AL365" s="79"/>
      <c r="AM365" s="79"/>
      <c r="AN365" s="79"/>
      <c r="AO365" s="79"/>
      <c r="AP365" s="79"/>
      <c r="AQ365" s="79"/>
    </row>
    <row r="366" spans="28:43" x14ac:dyDescent="0.3">
      <c r="AB366" s="79"/>
      <c r="AC366" s="79"/>
      <c r="AD366" s="79"/>
      <c r="AE366" s="79"/>
      <c r="AF366" s="79"/>
      <c r="AG366" s="79"/>
      <c r="AH366" s="79"/>
      <c r="AI366" s="79"/>
      <c r="AJ366" s="125"/>
      <c r="AK366" s="79"/>
      <c r="AL366" s="79"/>
      <c r="AM366" s="79"/>
      <c r="AN366" s="79"/>
      <c r="AO366" s="79"/>
      <c r="AP366" s="79"/>
      <c r="AQ366" s="79"/>
    </row>
    <row r="367" spans="28:43" x14ac:dyDescent="0.3">
      <c r="AB367" s="79"/>
      <c r="AC367" s="79"/>
      <c r="AD367" s="79"/>
      <c r="AE367" s="79"/>
      <c r="AF367" s="79"/>
      <c r="AG367" s="79"/>
      <c r="AH367" s="79"/>
      <c r="AI367" s="79"/>
      <c r="AJ367" s="125"/>
      <c r="AK367" s="79"/>
      <c r="AL367" s="79"/>
      <c r="AM367" s="79"/>
      <c r="AN367" s="79"/>
      <c r="AO367" s="79"/>
      <c r="AP367" s="79"/>
      <c r="AQ367" s="79"/>
    </row>
    <row r="368" spans="28:43" x14ac:dyDescent="0.3">
      <c r="AB368" s="79"/>
      <c r="AC368" s="79"/>
      <c r="AD368" s="79"/>
      <c r="AE368" s="79"/>
      <c r="AF368" s="79"/>
      <c r="AG368" s="79"/>
      <c r="AH368" s="79"/>
      <c r="AI368" s="79"/>
      <c r="AJ368" s="125"/>
      <c r="AK368" s="79"/>
      <c r="AL368" s="79"/>
      <c r="AM368" s="79"/>
      <c r="AN368" s="79"/>
      <c r="AO368" s="79"/>
      <c r="AP368" s="79"/>
      <c r="AQ368" s="79"/>
    </row>
    <row r="369" spans="28:43" x14ac:dyDescent="0.3">
      <c r="AB369" s="79"/>
      <c r="AC369" s="79"/>
      <c r="AD369" s="79"/>
      <c r="AE369" s="79"/>
      <c r="AF369" s="79"/>
      <c r="AG369" s="79"/>
      <c r="AH369" s="79"/>
      <c r="AI369" s="79"/>
      <c r="AJ369" s="125"/>
      <c r="AK369" s="79"/>
      <c r="AL369" s="79"/>
      <c r="AM369" s="79"/>
      <c r="AN369" s="79"/>
      <c r="AO369" s="79"/>
      <c r="AP369" s="79"/>
      <c r="AQ369" s="79"/>
    </row>
    <row r="370" spans="28:43" x14ac:dyDescent="0.3">
      <c r="AB370" s="79"/>
      <c r="AC370" s="79"/>
      <c r="AD370" s="79"/>
      <c r="AE370" s="79"/>
      <c r="AF370" s="79"/>
      <c r="AG370" s="79"/>
      <c r="AH370" s="79"/>
      <c r="AI370" s="79"/>
      <c r="AJ370" s="125"/>
      <c r="AK370" s="79"/>
      <c r="AL370" s="79"/>
      <c r="AM370" s="79"/>
      <c r="AN370" s="79"/>
      <c r="AO370" s="79"/>
      <c r="AP370" s="79"/>
      <c r="AQ370" s="79"/>
    </row>
    <row r="371" spans="28:43" x14ac:dyDescent="0.3">
      <c r="AB371" s="79"/>
      <c r="AC371" s="79"/>
      <c r="AD371" s="79"/>
      <c r="AE371" s="79"/>
      <c r="AF371" s="79"/>
      <c r="AG371" s="79"/>
      <c r="AH371" s="79"/>
      <c r="AI371" s="79"/>
      <c r="AJ371" s="125"/>
      <c r="AK371" s="79"/>
      <c r="AL371" s="79"/>
      <c r="AM371" s="79"/>
      <c r="AN371" s="79"/>
      <c r="AO371" s="79"/>
      <c r="AP371" s="79"/>
      <c r="AQ371" s="79"/>
    </row>
    <row r="372" spans="28:43" x14ac:dyDescent="0.3">
      <c r="AB372" s="79"/>
      <c r="AC372" s="79"/>
      <c r="AD372" s="79"/>
      <c r="AE372" s="79"/>
      <c r="AF372" s="79"/>
      <c r="AG372" s="79"/>
      <c r="AH372" s="79"/>
      <c r="AI372" s="79"/>
      <c r="AJ372" s="125"/>
      <c r="AK372" s="79"/>
      <c r="AL372" s="79"/>
      <c r="AM372" s="79"/>
      <c r="AN372" s="79"/>
      <c r="AO372" s="79"/>
      <c r="AP372" s="79"/>
      <c r="AQ372" s="79"/>
    </row>
    <row r="373" spans="28:43" x14ac:dyDescent="0.3">
      <c r="AB373" s="79"/>
      <c r="AC373" s="79"/>
      <c r="AD373" s="79"/>
      <c r="AE373" s="79"/>
      <c r="AF373" s="79"/>
      <c r="AG373" s="79"/>
      <c r="AH373" s="79"/>
      <c r="AI373" s="79"/>
      <c r="AJ373" s="125"/>
      <c r="AK373" s="79"/>
      <c r="AL373" s="79"/>
      <c r="AM373" s="79"/>
      <c r="AN373" s="79"/>
      <c r="AO373" s="79"/>
      <c r="AP373" s="79"/>
      <c r="AQ373" s="79"/>
    </row>
    <row r="374" spans="28:43" x14ac:dyDescent="0.3">
      <c r="AB374" s="79"/>
      <c r="AC374" s="79"/>
      <c r="AD374" s="79"/>
      <c r="AE374" s="79"/>
      <c r="AF374" s="79"/>
      <c r="AG374" s="79"/>
      <c r="AH374" s="79"/>
      <c r="AI374" s="79"/>
      <c r="AJ374" s="125"/>
      <c r="AK374" s="79"/>
      <c r="AL374" s="79"/>
      <c r="AM374" s="79"/>
      <c r="AN374" s="79"/>
      <c r="AO374" s="79"/>
      <c r="AP374" s="79"/>
      <c r="AQ374" s="79"/>
    </row>
    <row r="375" spans="28:43" x14ac:dyDescent="0.3">
      <c r="AB375" s="79"/>
      <c r="AC375" s="79"/>
      <c r="AD375" s="79"/>
      <c r="AE375" s="79"/>
      <c r="AF375" s="79"/>
      <c r="AG375" s="79"/>
      <c r="AH375" s="79"/>
      <c r="AI375" s="79"/>
      <c r="AJ375" s="125"/>
      <c r="AK375" s="79"/>
      <c r="AL375" s="79"/>
      <c r="AM375" s="79"/>
      <c r="AN375" s="79"/>
      <c r="AO375" s="79"/>
      <c r="AP375" s="79"/>
      <c r="AQ375" s="79"/>
    </row>
    <row r="376" spans="28:43" x14ac:dyDescent="0.3">
      <c r="AB376" s="79"/>
      <c r="AC376" s="79"/>
      <c r="AD376" s="79"/>
      <c r="AE376" s="79"/>
      <c r="AF376" s="79"/>
      <c r="AG376" s="79"/>
      <c r="AH376" s="79"/>
      <c r="AI376" s="79"/>
      <c r="AJ376" s="125"/>
      <c r="AK376" s="79"/>
      <c r="AL376" s="79"/>
      <c r="AM376" s="79"/>
      <c r="AN376" s="79"/>
      <c r="AO376" s="79"/>
      <c r="AP376" s="79"/>
      <c r="AQ376" s="79"/>
    </row>
    <row r="377" spans="28:43" x14ac:dyDescent="0.3">
      <c r="AB377" s="79"/>
      <c r="AC377" s="79"/>
      <c r="AD377" s="79"/>
      <c r="AE377" s="79"/>
      <c r="AF377" s="79"/>
      <c r="AG377" s="79"/>
      <c r="AH377" s="79"/>
      <c r="AI377" s="79"/>
      <c r="AJ377" s="125"/>
      <c r="AK377" s="79"/>
      <c r="AL377" s="79"/>
      <c r="AM377" s="79"/>
      <c r="AN377" s="79"/>
      <c r="AO377" s="79"/>
      <c r="AP377" s="79"/>
      <c r="AQ377" s="79"/>
    </row>
    <row r="378" spans="28:43" x14ac:dyDescent="0.3">
      <c r="AB378" s="79"/>
      <c r="AC378" s="79"/>
      <c r="AD378" s="79"/>
      <c r="AE378" s="79"/>
      <c r="AF378" s="79"/>
      <c r="AG378" s="79"/>
      <c r="AH378" s="79"/>
      <c r="AI378" s="79"/>
      <c r="AJ378" s="125"/>
      <c r="AK378" s="79"/>
      <c r="AL378" s="79"/>
      <c r="AM378" s="79"/>
      <c r="AN378" s="79"/>
      <c r="AO378" s="79"/>
      <c r="AP378" s="79"/>
      <c r="AQ378" s="79"/>
    </row>
    <row r="379" spans="28:43" x14ac:dyDescent="0.3">
      <c r="AB379" s="79"/>
      <c r="AC379" s="79"/>
      <c r="AD379" s="79"/>
      <c r="AE379" s="79"/>
      <c r="AF379" s="79"/>
      <c r="AG379" s="79"/>
      <c r="AH379" s="79"/>
      <c r="AI379" s="79"/>
      <c r="AJ379" s="125"/>
      <c r="AK379" s="79"/>
      <c r="AL379" s="79"/>
      <c r="AM379" s="79"/>
      <c r="AN379" s="79"/>
      <c r="AO379" s="79"/>
      <c r="AP379" s="79"/>
      <c r="AQ379" s="79"/>
    </row>
    <row r="380" spans="28:43" x14ac:dyDescent="0.3">
      <c r="AB380" s="79"/>
      <c r="AC380" s="79"/>
      <c r="AD380" s="79"/>
      <c r="AE380" s="79"/>
      <c r="AF380" s="79"/>
      <c r="AG380" s="79"/>
      <c r="AH380" s="79"/>
      <c r="AI380" s="79"/>
      <c r="AJ380" s="125"/>
      <c r="AK380" s="79"/>
      <c r="AL380" s="79"/>
      <c r="AM380" s="79"/>
      <c r="AN380" s="79"/>
      <c r="AO380" s="79"/>
      <c r="AP380" s="79"/>
      <c r="AQ380" s="79"/>
    </row>
    <row r="381" spans="28:43" x14ac:dyDescent="0.3">
      <c r="AB381" s="79"/>
      <c r="AC381" s="79"/>
      <c r="AD381" s="79"/>
      <c r="AE381" s="79"/>
      <c r="AF381" s="79"/>
      <c r="AG381" s="79"/>
      <c r="AH381" s="79"/>
      <c r="AI381" s="79"/>
      <c r="AJ381" s="125"/>
      <c r="AK381" s="79"/>
      <c r="AL381" s="79"/>
      <c r="AM381" s="79"/>
      <c r="AN381" s="79"/>
      <c r="AO381" s="79"/>
      <c r="AP381" s="79"/>
      <c r="AQ381" s="79"/>
    </row>
    <row r="382" spans="28:43" x14ac:dyDescent="0.3">
      <c r="AB382" s="79"/>
      <c r="AC382" s="79"/>
      <c r="AD382" s="79"/>
      <c r="AE382" s="79"/>
      <c r="AF382" s="79"/>
      <c r="AG382" s="79"/>
      <c r="AH382" s="79"/>
      <c r="AI382" s="79"/>
      <c r="AJ382" s="125"/>
      <c r="AK382" s="79"/>
      <c r="AL382" s="79"/>
      <c r="AM382" s="79"/>
      <c r="AN382" s="79"/>
      <c r="AO382" s="79"/>
      <c r="AP382" s="79"/>
      <c r="AQ382" s="79"/>
    </row>
    <row r="383" spans="28:43" x14ac:dyDescent="0.3">
      <c r="AB383" s="79"/>
      <c r="AC383" s="79"/>
      <c r="AD383" s="79"/>
      <c r="AE383" s="79"/>
      <c r="AF383" s="79"/>
      <c r="AG383" s="79"/>
      <c r="AH383" s="79"/>
      <c r="AI383" s="79"/>
      <c r="AJ383" s="125"/>
      <c r="AK383" s="79"/>
      <c r="AL383" s="79"/>
      <c r="AM383" s="79"/>
      <c r="AN383" s="79"/>
      <c r="AO383" s="79"/>
      <c r="AP383" s="79"/>
      <c r="AQ383" s="79"/>
    </row>
    <row r="384" spans="28:43" x14ac:dyDescent="0.3">
      <c r="AB384" s="79"/>
      <c r="AC384" s="79"/>
      <c r="AD384" s="79"/>
      <c r="AE384" s="79"/>
      <c r="AF384" s="79"/>
      <c r="AG384" s="79"/>
      <c r="AH384" s="79"/>
      <c r="AI384" s="79"/>
      <c r="AJ384" s="125"/>
      <c r="AK384" s="79"/>
      <c r="AL384" s="79"/>
      <c r="AM384" s="79"/>
      <c r="AN384" s="79"/>
      <c r="AO384" s="79"/>
      <c r="AP384" s="79"/>
      <c r="AQ384" s="79"/>
    </row>
    <row r="385" spans="28:43" x14ac:dyDescent="0.3">
      <c r="AB385" s="79"/>
      <c r="AC385" s="79"/>
      <c r="AD385" s="79"/>
      <c r="AE385" s="79"/>
      <c r="AF385" s="79"/>
      <c r="AG385" s="79"/>
      <c r="AH385" s="79"/>
      <c r="AI385" s="79"/>
      <c r="AJ385" s="125"/>
      <c r="AK385" s="79"/>
      <c r="AL385" s="79"/>
      <c r="AM385" s="79"/>
      <c r="AN385" s="79"/>
      <c r="AO385" s="79"/>
      <c r="AP385" s="79"/>
      <c r="AQ385" s="79"/>
    </row>
    <row r="386" spans="28:43" x14ac:dyDescent="0.3">
      <c r="AB386" s="79"/>
      <c r="AC386" s="79"/>
      <c r="AD386" s="79"/>
      <c r="AE386" s="79"/>
      <c r="AF386" s="79"/>
      <c r="AG386" s="79"/>
      <c r="AH386" s="79"/>
      <c r="AI386" s="79"/>
      <c r="AJ386" s="125"/>
      <c r="AK386" s="79"/>
      <c r="AL386" s="79"/>
      <c r="AM386" s="79"/>
      <c r="AN386" s="79"/>
      <c r="AO386" s="79"/>
      <c r="AP386" s="79"/>
      <c r="AQ386" s="79"/>
    </row>
    <row r="387" spans="28:43" x14ac:dyDescent="0.3">
      <c r="AB387" s="79"/>
      <c r="AC387" s="79"/>
      <c r="AD387" s="79"/>
      <c r="AE387" s="79"/>
      <c r="AF387" s="79"/>
      <c r="AG387" s="79"/>
      <c r="AH387" s="79"/>
      <c r="AI387" s="79"/>
      <c r="AJ387" s="125"/>
      <c r="AK387" s="79"/>
      <c r="AL387" s="79"/>
      <c r="AM387" s="79"/>
      <c r="AN387" s="79"/>
      <c r="AO387" s="79"/>
      <c r="AP387" s="79"/>
      <c r="AQ387" s="79"/>
    </row>
    <row r="388" spans="28:43" x14ac:dyDescent="0.3">
      <c r="AB388" s="79"/>
      <c r="AC388" s="79"/>
      <c r="AD388" s="79"/>
      <c r="AE388" s="79"/>
      <c r="AF388" s="79"/>
      <c r="AG388" s="79"/>
      <c r="AH388" s="79"/>
      <c r="AI388" s="79"/>
      <c r="AJ388" s="125"/>
      <c r="AK388" s="79"/>
      <c r="AL388" s="79"/>
      <c r="AM388" s="79"/>
      <c r="AN388" s="79"/>
      <c r="AO388" s="79"/>
      <c r="AP388" s="79"/>
      <c r="AQ388" s="79"/>
    </row>
    <row r="389" spans="28:43" x14ac:dyDescent="0.3">
      <c r="AB389" s="79"/>
      <c r="AC389" s="79"/>
      <c r="AD389" s="79"/>
      <c r="AE389" s="79"/>
      <c r="AF389" s="79"/>
      <c r="AG389" s="79"/>
      <c r="AH389" s="79"/>
      <c r="AI389" s="79"/>
      <c r="AJ389" s="125"/>
      <c r="AK389" s="79"/>
      <c r="AL389" s="79"/>
      <c r="AM389" s="79"/>
      <c r="AN389" s="79"/>
      <c r="AO389" s="79"/>
      <c r="AP389" s="79"/>
      <c r="AQ389" s="79"/>
    </row>
    <row r="390" spans="28:43" x14ac:dyDescent="0.3">
      <c r="AB390" s="79"/>
      <c r="AC390" s="79"/>
      <c r="AD390" s="79"/>
      <c r="AE390" s="79"/>
      <c r="AF390" s="79"/>
      <c r="AG390" s="79"/>
      <c r="AH390" s="79"/>
      <c r="AI390" s="79"/>
      <c r="AJ390" s="125"/>
      <c r="AK390" s="79"/>
      <c r="AL390" s="79"/>
      <c r="AM390" s="79"/>
      <c r="AN390" s="79"/>
      <c r="AO390" s="79"/>
      <c r="AP390" s="79"/>
      <c r="AQ390" s="79"/>
    </row>
    <row r="391" spans="28:43" x14ac:dyDescent="0.3">
      <c r="AB391" s="79"/>
      <c r="AC391" s="79"/>
      <c r="AD391" s="79"/>
      <c r="AE391" s="79"/>
      <c r="AF391" s="79"/>
      <c r="AG391" s="79"/>
      <c r="AH391" s="79"/>
      <c r="AI391" s="79"/>
      <c r="AJ391" s="125"/>
      <c r="AK391" s="79"/>
      <c r="AL391" s="79"/>
      <c r="AM391" s="79"/>
      <c r="AN391" s="79"/>
      <c r="AO391" s="79"/>
      <c r="AP391" s="79"/>
      <c r="AQ391" s="79"/>
    </row>
    <row r="392" spans="28:43" x14ac:dyDescent="0.3">
      <c r="AB392" s="79"/>
      <c r="AC392" s="79"/>
      <c r="AD392" s="79"/>
      <c r="AE392" s="79"/>
      <c r="AF392" s="79"/>
      <c r="AG392" s="79"/>
      <c r="AH392" s="79"/>
      <c r="AI392" s="79"/>
      <c r="AJ392" s="125"/>
      <c r="AK392" s="79"/>
      <c r="AL392" s="79"/>
      <c r="AM392" s="79"/>
      <c r="AN392" s="79"/>
      <c r="AO392" s="79"/>
      <c r="AP392" s="79"/>
      <c r="AQ392" s="79"/>
    </row>
    <row r="393" spans="28:43" x14ac:dyDescent="0.3">
      <c r="AB393" s="79"/>
      <c r="AC393" s="79"/>
      <c r="AD393" s="79"/>
      <c r="AE393" s="79"/>
      <c r="AF393" s="79"/>
      <c r="AG393" s="79"/>
      <c r="AH393" s="79"/>
      <c r="AI393" s="79"/>
      <c r="AJ393" s="125"/>
      <c r="AK393" s="79"/>
      <c r="AL393" s="79"/>
      <c r="AM393" s="79"/>
      <c r="AN393" s="79"/>
      <c r="AO393" s="79"/>
      <c r="AP393" s="79"/>
      <c r="AQ393" s="79"/>
    </row>
    <row r="394" spans="28:43" x14ac:dyDescent="0.3">
      <c r="AB394" s="79"/>
      <c r="AC394" s="79"/>
      <c r="AD394" s="79"/>
      <c r="AE394" s="79"/>
      <c r="AF394" s="79"/>
      <c r="AG394" s="79"/>
      <c r="AH394" s="79"/>
      <c r="AI394" s="79"/>
      <c r="AJ394" s="125"/>
      <c r="AK394" s="79"/>
      <c r="AL394" s="79"/>
      <c r="AM394" s="79"/>
      <c r="AN394" s="79"/>
      <c r="AO394" s="79"/>
      <c r="AP394" s="79"/>
      <c r="AQ394" s="79"/>
    </row>
    <row r="395" spans="28:43" x14ac:dyDescent="0.3">
      <c r="AB395" s="79"/>
      <c r="AC395" s="79"/>
      <c r="AD395" s="79"/>
      <c r="AE395" s="79"/>
      <c r="AF395" s="79"/>
      <c r="AG395" s="79"/>
      <c r="AH395" s="79"/>
      <c r="AI395" s="79"/>
      <c r="AJ395" s="125"/>
      <c r="AK395" s="79"/>
      <c r="AL395" s="79"/>
      <c r="AM395" s="79"/>
      <c r="AN395" s="79"/>
      <c r="AO395" s="79"/>
      <c r="AP395" s="79"/>
      <c r="AQ395" s="79"/>
    </row>
    <row r="396" spans="28:43" x14ac:dyDescent="0.3">
      <c r="AB396" s="79"/>
      <c r="AC396" s="79"/>
      <c r="AD396" s="79"/>
      <c r="AE396" s="79"/>
      <c r="AF396" s="79"/>
      <c r="AG396" s="79"/>
      <c r="AH396" s="79"/>
      <c r="AI396" s="79"/>
      <c r="AJ396" s="125"/>
      <c r="AK396" s="79"/>
      <c r="AL396" s="79"/>
      <c r="AM396" s="79"/>
      <c r="AN396" s="79"/>
      <c r="AO396" s="79"/>
      <c r="AP396" s="79"/>
      <c r="AQ396" s="79"/>
    </row>
    <row r="397" spans="28:43" x14ac:dyDescent="0.3">
      <c r="AB397" s="79"/>
      <c r="AC397" s="79"/>
      <c r="AD397" s="79"/>
      <c r="AE397" s="79"/>
      <c r="AF397" s="79"/>
      <c r="AG397" s="79"/>
      <c r="AH397" s="79"/>
      <c r="AI397" s="79"/>
      <c r="AJ397" s="125"/>
      <c r="AK397" s="79"/>
      <c r="AL397" s="79"/>
      <c r="AM397" s="79"/>
      <c r="AN397" s="79"/>
      <c r="AO397" s="79"/>
      <c r="AP397" s="79"/>
      <c r="AQ397" s="79"/>
    </row>
    <row r="398" spans="28:43" x14ac:dyDescent="0.3">
      <c r="AB398" s="79"/>
      <c r="AC398" s="79"/>
      <c r="AD398" s="79"/>
      <c r="AE398" s="79"/>
      <c r="AF398" s="79"/>
      <c r="AG398" s="79"/>
      <c r="AH398" s="79"/>
      <c r="AI398" s="79"/>
      <c r="AJ398" s="125"/>
      <c r="AK398" s="79"/>
      <c r="AL398" s="79"/>
      <c r="AM398" s="79"/>
      <c r="AN398" s="79"/>
      <c r="AO398" s="79"/>
      <c r="AP398" s="79"/>
      <c r="AQ398" s="79"/>
    </row>
    <row r="399" spans="28:43" x14ac:dyDescent="0.3">
      <c r="AB399" s="79"/>
      <c r="AC399" s="79"/>
      <c r="AD399" s="79"/>
      <c r="AE399" s="79"/>
      <c r="AF399" s="79"/>
      <c r="AG399" s="79"/>
      <c r="AH399" s="79"/>
      <c r="AI399" s="79"/>
      <c r="AJ399" s="125"/>
      <c r="AK399" s="79"/>
      <c r="AL399" s="79"/>
      <c r="AM399" s="79"/>
      <c r="AN399" s="79"/>
      <c r="AO399" s="79"/>
      <c r="AP399" s="79"/>
      <c r="AQ399" s="79"/>
    </row>
    <row r="400" spans="28:43" x14ac:dyDescent="0.3">
      <c r="AB400" s="79"/>
      <c r="AC400" s="79"/>
      <c r="AD400" s="79"/>
      <c r="AE400" s="79"/>
      <c r="AF400" s="79"/>
      <c r="AG400" s="79"/>
      <c r="AH400" s="79"/>
      <c r="AI400" s="79"/>
      <c r="AJ400" s="125"/>
      <c r="AK400" s="79"/>
      <c r="AL400" s="79"/>
      <c r="AM400" s="79"/>
      <c r="AN400" s="79"/>
      <c r="AO400" s="79"/>
      <c r="AP400" s="79"/>
      <c r="AQ400" s="79"/>
    </row>
    <row r="401" spans="28:43" x14ac:dyDescent="0.3">
      <c r="AB401" s="79"/>
      <c r="AC401" s="79"/>
      <c r="AD401" s="79"/>
      <c r="AE401" s="79"/>
      <c r="AF401" s="79"/>
      <c r="AG401" s="79"/>
      <c r="AH401" s="79"/>
      <c r="AI401" s="79"/>
      <c r="AJ401" s="125"/>
      <c r="AK401" s="79"/>
      <c r="AL401" s="79"/>
      <c r="AM401" s="79"/>
      <c r="AN401" s="79"/>
      <c r="AO401" s="79"/>
      <c r="AP401" s="79"/>
      <c r="AQ401" s="79"/>
    </row>
    <row r="402" spans="28:43" x14ac:dyDescent="0.3">
      <c r="AB402" s="79"/>
      <c r="AC402" s="79"/>
      <c r="AD402" s="79"/>
      <c r="AE402" s="79"/>
      <c r="AF402" s="79"/>
      <c r="AG402" s="79"/>
      <c r="AH402" s="79"/>
      <c r="AI402" s="79"/>
      <c r="AJ402" s="125"/>
      <c r="AK402" s="79"/>
      <c r="AL402" s="79"/>
      <c r="AM402" s="79"/>
      <c r="AN402" s="79"/>
      <c r="AO402" s="79"/>
      <c r="AP402" s="79"/>
      <c r="AQ402" s="79"/>
    </row>
    <row r="403" spans="28:43" x14ac:dyDescent="0.3">
      <c r="AB403" s="79"/>
      <c r="AC403" s="79"/>
      <c r="AD403" s="79"/>
      <c r="AE403" s="79"/>
      <c r="AF403" s="79"/>
      <c r="AG403" s="79"/>
      <c r="AH403" s="79"/>
      <c r="AI403" s="79"/>
      <c r="AJ403" s="125"/>
      <c r="AK403" s="79"/>
      <c r="AL403" s="79"/>
      <c r="AM403" s="79"/>
      <c r="AN403" s="79"/>
      <c r="AO403" s="79"/>
      <c r="AP403" s="79"/>
      <c r="AQ403" s="79"/>
    </row>
    <row r="404" spans="28:43" x14ac:dyDescent="0.3">
      <c r="AB404" s="79"/>
      <c r="AC404" s="79"/>
      <c r="AD404" s="79"/>
      <c r="AE404" s="79"/>
      <c r="AF404" s="79"/>
      <c r="AG404" s="79"/>
      <c r="AH404" s="79"/>
      <c r="AI404" s="79"/>
      <c r="AJ404" s="125"/>
      <c r="AK404" s="79"/>
      <c r="AL404" s="79"/>
      <c r="AM404" s="79"/>
      <c r="AN404" s="79"/>
      <c r="AO404" s="79"/>
      <c r="AP404" s="79"/>
      <c r="AQ404" s="79"/>
    </row>
    <row r="405" spans="28:43" x14ac:dyDescent="0.3">
      <c r="AB405" s="79"/>
      <c r="AC405" s="79"/>
      <c r="AD405" s="79"/>
      <c r="AE405" s="79"/>
      <c r="AF405" s="79"/>
      <c r="AG405" s="79"/>
      <c r="AH405" s="79"/>
      <c r="AI405" s="79"/>
      <c r="AJ405" s="125"/>
      <c r="AK405" s="79"/>
      <c r="AL405" s="79"/>
      <c r="AM405" s="79"/>
      <c r="AN405" s="79"/>
      <c r="AO405" s="79"/>
      <c r="AP405" s="79"/>
      <c r="AQ405" s="79"/>
    </row>
    <row r="406" spans="28:43" x14ac:dyDescent="0.3">
      <c r="AB406" s="79"/>
      <c r="AC406" s="79"/>
      <c r="AD406" s="79"/>
      <c r="AE406" s="79"/>
      <c r="AF406" s="79"/>
      <c r="AG406" s="79"/>
      <c r="AH406" s="79"/>
      <c r="AI406" s="79"/>
      <c r="AJ406" s="125"/>
      <c r="AK406" s="79"/>
      <c r="AL406" s="79"/>
      <c r="AM406" s="79"/>
      <c r="AN406" s="79"/>
      <c r="AO406" s="79"/>
      <c r="AP406" s="79"/>
      <c r="AQ406" s="79"/>
    </row>
    <row r="407" spans="28:43" x14ac:dyDescent="0.3">
      <c r="AB407" s="79"/>
      <c r="AC407" s="79"/>
      <c r="AD407" s="79"/>
      <c r="AE407" s="79"/>
      <c r="AF407" s="79"/>
      <c r="AG407" s="79"/>
      <c r="AH407" s="79"/>
      <c r="AI407" s="79"/>
      <c r="AJ407" s="125"/>
      <c r="AK407" s="79"/>
      <c r="AL407" s="79"/>
      <c r="AM407" s="79"/>
      <c r="AN407" s="79"/>
      <c r="AO407" s="79"/>
      <c r="AP407" s="79"/>
      <c r="AQ407" s="79"/>
    </row>
    <row r="408" spans="28:43" x14ac:dyDescent="0.3">
      <c r="AB408" s="79"/>
      <c r="AC408" s="79"/>
      <c r="AD408" s="79"/>
      <c r="AE408" s="79"/>
      <c r="AF408" s="79"/>
      <c r="AG408" s="79"/>
      <c r="AH408" s="79"/>
      <c r="AI408" s="79"/>
      <c r="AJ408" s="125"/>
      <c r="AK408" s="79"/>
      <c r="AL408" s="79"/>
      <c r="AM408" s="79"/>
      <c r="AN408" s="79"/>
      <c r="AO408" s="79"/>
      <c r="AP408" s="79"/>
      <c r="AQ408" s="79"/>
    </row>
    <row r="409" spans="28:43" x14ac:dyDescent="0.3">
      <c r="AB409" s="79"/>
      <c r="AC409" s="79"/>
      <c r="AD409" s="79"/>
      <c r="AE409" s="79"/>
      <c r="AF409" s="79"/>
      <c r="AG409" s="79"/>
      <c r="AH409" s="79"/>
      <c r="AI409" s="79"/>
      <c r="AJ409" s="125"/>
      <c r="AK409" s="79"/>
      <c r="AL409" s="79"/>
      <c r="AM409" s="79"/>
      <c r="AN409" s="79"/>
      <c r="AO409" s="79"/>
      <c r="AP409" s="79"/>
      <c r="AQ409" s="79"/>
    </row>
    <row r="410" spans="28:43" x14ac:dyDescent="0.3">
      <c r="AB410" s="79"/>
      <c r="AC410" s="79"/>
      <c r="AD410" s="79"/>
      <c r="AE410" s="79"/>
      <c r="AF410" s="79"/>
      <c r="AG410" s="79"/>
      <c r="AH410" s="79"/>
      <c r="AI410" s="79"/>
      <c r="AJ410" s="125"/>
      <c r="AK410" s="79"/>
      <c r="AL410" s="79"/>
      <c r="AM410" s="79"/>
      <c r="AN410" s="79"/>
      <c r="AO410" s="79"/>
      <c r="AP410" s="79"/>
      <c r="AQ410" s="79"/>
    </row>
    <row r="411" spans="28:43" x14ac:dyDescent="0.3">
      <c r="AB411" s="79"/>
      <c r="AC411" s="79"/>
      <c r="AD411" s="79"/>
      <c r="AE411" s="79"/>
      <c r="AF411" s="79"/>
      <c r="AG411" s="79"/>
      <c r="AH411" s="79"/>
      <c r="AI411" s="79"/>
      <c r="AJ411" s="125"/>
      <c r="AK411" s="79"/>
      <c r="AL411" s="79"/>
      <c r="AM411" s="79"/>
      <c r="AN411" s="79"/>
      <c r="AO411" s="79"/>
      <c r="AP411" s="79"/>
      <c r="AQ411" s="79"/>
    </row>
    <row r="412" spans="28:43" x14ac:dyDescent="0.3">
      <c r="AB412" s="79"/>
      <c r="AC412" s="79"/>
      <c r="AD412" s="79"/>
      <c r="AE412" s="79"/>
      <c r="AF412" s="79"/>
      <c r="AG412" s="79"/>
      <c r="AH412" s="79"/>
      <c r="AI412" s="79"/>
      <c r="AJ412" s="125"/>
      <c r="AK412" s="79"/>
      <c r="AL412" s="79"/>
      <c r="AM412" s="79"/>
      <c r="AN412" s="79"/>
      <c r="AO412" s="79"/>
      <c r="AP412" s="79"/>
      <c r="AQ412" s="79"/>
    </row>
    <row r="413" spans="28:43" x14ac:dyDescent="0.3">
      <c r="AB413" s="79"/>
      <c r="AC413" s="79"/>
      <c r="AD413" s="79"/>
      <c r="AE413" s="79"/>
      <c r="AF413" s="79"/>
      <c r="AG413" s="79"/>
      <c r="AH413" s="79"/>
      <c r="AI413" s="79"/>
      <c r="AJ413" s="125"/>
      <c r="AK413" s="79"/>
      <c r="AL413" s="79"/>
      <c r="AM413" s="79"/>
      <c r="AN413" s="79"/>
      <c r="AO413" s="79"/>
      <c r="AP413" s="79"/>
      <c r="AQ413" s="79"/>
    </row>
    <row r="414" spans="28:43" x14ac:dyDescent="0.3">
      <c r="AB414" s="79"/>
      <c r="AC414" s="79"/>
      <c r="AD414" s="79"/>
      <c r="AE414" s="79"/>
      <c r="AF414" s="79"/>
      <c r="AG414" s="79"/>
      <c r="AH414" s="79"/>
      <c r="AI414" s="79"/>
      <c r="AJ414" s="125"/>
      <c r="AK414" s="79"/>
      <c r="AL414" s="79"/>
      <c r="AM414" s="79"/>
      <c r="AN414" s="79"/>
      <c r="AO414" s="79"/>
      <c r="AP414" s="79"/>
      <c r="AQ414" s="79"/>
    </row>
    <row r="415" spans="28:43" x14ac:dyDescent="0.3">
      <c r="AB415" s="79"/>
      <c r="AC415" s="79"/>
      <c r="AD415" s="79"/>
      <c r="AE415" s="79"/>
      <c r="AF415" s="79"/>
      <c r="AG415" s="79"/>
      <c r="AH415" s="79"/>
      <c r="AI415" s="79"/>
      <c r="AJ415" s="125"/>
      <c r="AK415" s="79"/>
      <c r="AL415" s="79"/>
      <c r="AM415" s="79"/>
      <c r="AN415" s="79"/>
      <c r="AO415" s="79"/>
      <c r="AP415" s="79"/>
      <c r="AQ415" s="79"/>
    </row>
    <row r="416" spans="28:43" x14ac:dyDescent="0.3">
      <c r="AB416" s="79"/>
      <c r="AC416" s="79"/>
      <c r="AD416" s="79"/>
      <c r="AE416" s="79"/>
      <c r="AF416" s="79"/>
      <c r="AG416" s="79"/>
      <c r="AH416" s="79"/>
      <c r="AI416" s="79"/>
      <c r="AJ416" s="125"/>
      <c r="AK416" s="79"/>
      <c r="AL416" s="79"/>
      <c r="AM416" s="79"/>
      <c r="AN416" s="79"/>
      <c r="AO416" s="79"/>
      <c r="AP416" s="79"/>
      <c r="AQ416" s="79"/>
    </row>
    <row r="417" spans="28:43" x14ac:dyDescent="0.3">
      <c r="AB417" s="79"/>
      <c r="AC417" s="79"/>
      <c r="AD417" s="79"/>
      <c r="AE417" s="79"/>
      <c r="AF417" s="79"/>
      <c r="AG417" s="79"/>
      <c r="AH417" s="79"/>
      <c r="AI417" s="79"/>
      <c r="AJ417" s="125"/>
      <c r="AK417" s="79"/>
      <c r="AL417" s="79"/>
      <c r="AM417" s="79"/>
      <c r="AN417" s="79"/>
      <c r="AO417" s="79"/>
      <c r="AP417" s="79"/>
      <c r="AQ417" s="79"/>
    </row>
    <row r="418" spans="28:43" x14ac:dyDescent="0.3">
      <c r="AB418" s="79"/>
      <c r="AC418" s="79"/>
      <c r="AD418" s="79"/>
      <c r="AE418" s="79"/>
      <c r="AF418" s="79"/>
      <c r="AG418" s="79"/>
      <c r="AH418" s="79"/>
      <c r="AI418" s="79"/>
      <c r="AJ418" s="125"/>
      <c r="AK418" s="79"/>
      <c r="AL418" s="79"/>
      <c r="AM418" s="79"/>
      <c r="AN418" s="79"/>
      <c r="AO418" s="79"/>
      <c r="AP418" s="79"/>
      <c r="AQ418" s="79"/>
    </row>
    <row r="419" spans="28:43" x14ac:dyDescent="0.3">
      <c r="AB419" s="79"/>
      <c r="AC419" s="79"/>
      <c r="AD419" s="79"/>
      <c r="AE419" s="79"/>
      <c r="AF419" s="79"/>
      <c r="AG419" s="79"/>
      <c r="AH419" s="79"/>
      <c r="AI419" s="79"/>
      <c r="AJ419" s="125"/>
      <c r="AK419" s="79"/>
      <c r="AL419" s="79"/>
      <c r="AM419" s="79"/>
      <c r="AN419" s="79"/>
      <c r="AO419" s="79"/>
      <c r="AP419" s="79"/>
      <c r="AQ419" s="79"/>
    </row>
    <row r="420" spans="28:43" x14ac:dyDescent="0.3">
      <c r="AB420" s="79"/>
      <c r="AC420" s="79"/>
      <c r="AD420" s="79"/>
      <c r="AE420" s="79"/>
      <c r="AF420" s="79"/>
      <c r="AG420" s="79"/>
      <c r="AH420" s="79"/>
      <c r="AI420" s="79"/>
      <c r="AJ420" s="125"/>
      <c r="AK420" s="79"/>
      <c r="AL420" s="79"/>
      <c r="AM420" s="79"/>
      <c r="AN420" s="79"/>
      <c r="AO420" s="79"/>
      <c r="AP420" s="79"/>
      <c r="AQ420" s="79"/>
    </row>
    <row r="421" spans="28:43" x14ac:dyDescent="0.3">
      <c r="AB421" s="79"/>
      <c r="AC421" s="79"/>
      <c r="AD421" s="79"/>
      <c r="AE421" s="79"/>
      <c r="AF421" s="79"/>
      <c r="AG421" s="79"/>
      <c r="AH421" s="79"/>
      <c r="AI421" s="79"/>
      <c r="AJ421" s="125"/>
      <c r="AK421" s="79"/>
      <c r="AL421" s="79"/>
      <c r="AM421" s="79"/>
      <c r="AN421" s="79"/>
      <c r="AO421" s="79"/>
      <c r="AP421" s="79"/>
      <c r="AQ421" s="79"/>
    </row>
    <row r="422" spans="28:43" x14ac:dyDescent="0.3">
      <c r="AB422" s="79"/>
      <c r="AC422" s="79"/>
      <c r="AD422" s="79"/>
      <c r="AE422" s="79"/>
      <c r="AF422" s="79"/>
      <c r="AG422" s="79"/>
      <c r="AH422" s="79"/>
      <c r="AI422" s="79"/>
      <c r="AJ422" s="125"/>
      <c r="AK422" s="79"/>
      <c r="AL422" s="79"/>
      <c r="AM422" s="79"/>
      <c r="AN422" s="79"/>
      <c r="AO422" s="79"/>
      <c r="AP422" s="79"/>
      <c r="AQ422" s="79"/>
    </row>
    <row r="423" spans="28:43" x14ac:dyDescent="0.3">
      <c r="AB423" s="79"/>
      <c r="AC423" s="79"/>
      <c r="AD423" s="79"/>
      <c r="AE423" s="79"/>
      <c r="AF423" s="79"/>
      <c r="AG423" s="79"/>
      <c r="AH423" s="79"/>
      <c r="AI423" s="79"/>
      <c r="AJ423" s="125"/>
      <c r="AK423" s="79"/>
      <c r="AL423" s="79"/>
      <c r="AM423" s="79"/>
      <c r="AN423" s="79"/>
      <c r="AO423" s="79"/>
      <c r="AP423" s="79"/>
      <c r="AQ423" s="79"/>
    </row>
    <row r="424" spans="28:43" x14ac:dyDescent="0.3">
      <c r="AB424" s="79"/>
      <c r="AC424" s="79"/>
      <c r="AD424" s="79"/>
      <c r="AE424" s="79"/>
      <c r="AF424" s="79"/>
      <c r="AG424" s="79"/>
      <c r="AH424" s="79"/>
      <c r="AI424" s="79"/>
      <c r="AJ424" s="125"/>
      <c r="AK424" s="79"/>
      <c r="AL424" s="79"/>
      <c r="AM424" s="79"/>
      <c r="AN424" s="79"/>
      <c r="AO424" s="79"/>
      <c r="AP424" s="79"/>
      <c r="AQ424" s="79"/>
    </row>
    <row r="425" spans="28:43" x14ac:dyDescent="0.3">
      <c r="AB425" s="79"/>
      <c r="AC425" s="79"/>
      <c r="AD425" s="79"/>
      <c r="AE425" s="79"/>
      <c r="AF425" s="79"/>
      <c r="AG425" s="79"/>
      <c r="AH425" s="79"/>
      <c r="AI425" s="79"/>
      <c r="AJ425" s="125"/>
      <c r="AK425" s="79"/>
      <c r="AL425" s="79"/>
      <c r="AM425" s="79"/>
      <c r="AN425" s="79"/>
      <c r="AO425" s="79"/>
      <c r="AP425" s="79"/>
      <c r="AQ425" s="79"/>
    </row>
    <row r="426" spans="28:43" x14ac:dyDescent="0.3">
      <c r="AB426" s="79"/>
      <c r="AC426" s="79"/>
      <c r="AD426" s="79"/>
      <c r="AE426" s="79"/>
      <c r="AF426" s="79"/>
      <c r="AG426" s="79"/>
      <c r="AH426" s="79"/>
      <c r="AI426" s="79"/>
      <c r="AJ426" s="125"/>
      <c r="AK426" s="79"/>
      <c r="AL426" s="79"/>
      <c r="AM426" s="79"/>
      <c r="AN426" s="79"/>
      <c r="AO426" s="79"/>
      <c r="AP426" s="79"/>
      <c r="AQ426" s="79"/>
    </row>
    <row r="427" spans="28:43" x14ac:dyDescent="0.3">
      <c r="AB427" s="79"/>
      <c r="AC427" s="79"/>
      <c r="AD427" s="79"/>
      <c r="AE427" s="79"/>
      <c r="AF427" s="79"/>
      <c r="AG427" s="79"/>
      <c r="AH427" s="79"/>
      <c r="AI427" s="79"/>
      <c r="AJ427" s="125"/>
      <c r="AK427" s="79"/>
      <c r="AL427" s="79"/>
      <c r="AM427" s="79"/>
      <c r="AN427" s="79"/>
      <c r="AO427" s="79"/>
      <c r="AP427" s="79"/>
      <c r="AQ427" s="79"/>
    </row>
    <row r="428" spans="28:43" x14ac:dyDescent="0.3">
      <c r="AB428" s="79"/>
      <c r="AC428" s="79"/>
      <c r="AD428" s="79"/>
      <c r="AE428" s="79"/>
      <c r="AF428" s="79"/>
      <c r="AG428" s="79"/>
      <c r="AH428" s="79"/>
      <c r="AI428" s="79"/>
      <c r="AJ428" s="125"/>
      <c r="AK428" s="79"/>
      <c r="AL428" s="79"/>
      <c r="AM428" s="79"/>
      <c r="AN428" s="79"/>
      <c r="AO428" s="79"/>
      <c r="AP428" s="79"/>
      <c r="AQ428" s="79"/>
    </row>
    <row r="429" spans="28:43" x14ac:dyDescent="0.3">
      <c r="AB429" s="79"/>
      <c r="AC429" s="79"/>
      <c r="AD429" s="79"/>
      <c r="AE429" s="79"/>
      <c r="AF429" s="79"/>
      <c r="AG429" s="79"/>
      <c r="AH429" s="79"/>
      <c r="AI429" s="79"/>
      <c r="AJ429" s="125"/>
      <c r="AK429" s="79"/>
      <c r="AL429" s="79"/>
      <c r="AM429" s="79"/>
      <c r="AN429" s="79"/>
      <c r="AO429" s="79"/>
      <c r="AP429" s="79"/>
      <c r="AQ429" s="79"/>
    </row>
    <row r="430" spans="28:43" x14ac:dyDescent="0.3">
      <c r="AB430" s="79"/>
      <c r="AC430" s="79"/>
      <c r="AD430" s="79"/>
      <c r="AE430" s="79"/>
      <c r="AF430" s="79"/>
      <c r="AG430" s="79"/>
      <c r="AH430" s="79"/>
      <c r="AI430" s="79"/>
      <c r="AJ430" s="125"/>
      <c r="AK430" s="79"/>
      <c r="AL430" s="79"/>
      <c r="AM430" s="79"/>
      <c r="AN430" s="79"/>
      <c r="AO430" s="79"/>
      <c r="AP430" s="79"/>
      <c r="AQ430" s="79"/>
    </row>
    <row r="431" spans="28:43" x14ac:dyDescent="0.3">
      <c r="AB431" s="79"/>
      <c r="AC431" s="79"/>
      <c r="AD431" s="79"/>
      <c r="AE431" s="79"/>
      <c r="AF431" s="79"/>
      <c r="AG431" s="79"/>
      <c r="AH431" s="79"/>
      <c r="AI431" s="79"/>
      <c r="AJ431" s="125"/>
      <c r="AK431" s="79"/>
      <c r="AL431" s="79"/>
      <c r="AM431" s="79"/>
      <c r="AN431" s="79"/>
      <c r="AO431" s="79"/>
      <c r="AP431" s="79"/>
      <c r="AQ431" s="79"/>
    </row>
    <row r="432" spans="28:43" x14ac:dyDescent="0.3">
      <c r="AB432" s="79"/>
      <c r="AC432" s="79"/>
      <c r="AD432" s="79"/>
      <c r="AE432" s="79"/>
      <c r="AF432" s="79"/>
      <c r="AG432" s="79"/>
      <c r="AH432" s="79"/>
      <c r="AI432" s="79"/>
      <c r="AJ432" s="125"/>
      <c r="AK432" s="79"/>
      <c r="AL432" s="79"/>
      <c r="AM432" s="79"/>
      <c r="AN432" s="79"/>
      <c r="AO432" s="79"/>
      <c r="AP432" s="79"/>
      <c r="AQ432" s="79"/>
    </row>
    <row r="433" spans="28:43" x14ac:dyDescent="0.3">
      <c r="AB433" s="79"/>
      <c r="AC433" s="79"/>
      <c r="AD433" s="79"/>
      <c r="AE433" s="79"/>
      <c r="AF433" s="79"/>
      <c r="AG433" s="79"/>
      <c r="AH433" s="79"/>
      <c r="AI433" s="79"/>
      <c r="AJ433" s="125"/>
      <c r="AK433" s="79"/>
      <c r="AL433" s="79"/>
      <c r="AM433" s="79"/>
      <c r="AN433" s="79"/>
      <c r="AO433" s="79"/>
      <c r="AP433" s="79"/>
      <c r="AQ433" s="79"/>
    </row>
    <row r="434" spans="28:43" x14ac:dyDescent="0.3">
      <c r="AB434" s="79"/>
      <c r="AC434" s="79"/>
      <c r="AD434" s="79"/>
      <c r="AE434" s="79"/>
      <c r="AF434" s="79"/>
      <c r="AG434" s="79"/>
      <c r="AH434" s="79"/>
      <c r="AI434" s="79"/>
      <c r="AJ434" s="125"/>
      <c r="AK434" s="79"/>
      <c r="AL434" s="79"/>
      <c r="AM434" s="79"/>
      <c r="AN434" s="79"/>
      <c r="AO434" s="79"/>
      <c r="AP434" s="79"/>
      <c r="AQ434" s="79"/>
    </row>
    <row r="435" spans="28:43" x14ac:dyDescent="0.3">
      <c r="AB435" s="79"/>
      <c r="AC435" s="79"/>
      <c r="AD435" s="79"/>
      <c r="AE435" s="79"/>
      <c r="AF435" s="79"/>
      <c r="AG435" s="79"/>
      <c r="AH435" s="79"/>
      <c r="AI435" s="79"/>
      <c r="AJ435" s="125"/>
      <c r="AK435" s="79"/>
      <c r="AL435" s="79"/>
      <c r="AM435" s="79"/>
      <c r="AN435" s="79"/>
      <c r="AO435" s="79"/>
      <c r="AP435" s="79"/>
      <c r="AQ435" s="79"/>
    </row>
    <row r="436" spans="28:43" x14ac:dyDescent="0.3">
      <c r="AB436" s="79"/>
      <c r="AC436" s="79"/>
      <c r="AD436" s="79"/>
      <c r="AE436" s="79"/>
      <c r="AF436" s="79"/>
      <c r="AG436" s="79"/>
      <c r="AH436" s="79"/>
      <c r="AI436" s="79"/>
      <c r="AJ436" s="125"/>
      <c r="AK436" s="79"/>
      <c r="AL436" s="79"/>
      <c r="AM436" s="79"/>
      <c r="AN436" s="79"/>
      <c r="AO436" s="79"/>
      <c r="AP436" s="79"/>
      <c r="AQ436" s="79"/>
    </row>
    <row r="437" spans="28:43" x14ac:dyDescent="0.3">
      <c r="AB437" s="79"/>
      <c r="AC437" s="79"/>
      <c r="AD437" s="79"/>
      <c r="AE437" s="79"/>
      <c r="AF437" s="79"/>
      <c r="AG437" s="79"/>
      <c r="AH437" s="79"/>
      <c r="AI437" s="79"/>
      <c r="AJ437" s="125"/>
      <c r="AK437" s="79"/>
      <c r="AL437" s="79"/>
      <c r="AM437" s="79"/>
      <c r="AN437" s="79"/>
      <c r="AO437" s="79"/>
      <c r="AP437" s="79"/>
      <c r="AQ437" s="79"/>
    </row>
    <row r="438" spans="28:43" x14ac:dyDescent="0.3">
      <c r="AB438" s="79"/>
      <c r="AC438" s="79"/>
      <c r="AD438" s="79"/>
      <c r="AE438" s="79"/>
      <c r="AF438" s="79"/>
      <c r="AG438" s="79"/>
      <c r="AH438" s="79"/>
      <c r="AI438" s="79"/>
      <c r="AJ438" s="125"/>
      <c r="AK438" s="79"/>
      <c r="AL438" s="79"/>
      <c r="AM438" s="79"/>
      <c r="AN438" s="79"/>
      <c r="AO438" s="79"/>
      <c r="AP438" s="79"/>
      <c r="AQ438" s="79"/>
    </row>
    <row r="439" spans="28:43" x14ac:dyDescent="0.3">
      <c r="AB439" s="79"/>
      <c r="AC439" s="79"/>
      <c r="AD439" s="79"/>
      <c r="AE439" s="79"/>
      <c r="AF439" s="79"/>
      <c r="AG439" s="79"/>
      <c r="AH439" s="79"/>
      <c r="AI439" s="79"/>
      <c r="AJ439" s="125"/>
      <c r="AK439" s="79"/>
      <c r="AL439" s="79"/>
      <c r="AM439" s="79"/>
      <c r="AN439" s="79"/>
      <c r="AO439" s="79"/>
      <c r="AP439" s="79"/>
      <c r="AQ439" s="79"/>
    </row>
    <row r="440" spans="28:43" x14ac:dyDescent="0.3">
      <c r="AB440" s="79"/>
      <c r="AC440" s="79"/>
      <c r="AD440" s="79"/>
      <c r="AE440" s="79"/>
      <c r="AF440" s="79"/>
      <c r="AG440" s="79"/>
      <c r="AH440" s="79"/>
      <c r="AI440" s="79"/>
      <c r="AJ440" s="125"/>
      <c r="AK440" s="79"/>
      <c r="AL440" s="79"/>
      <c r="AM440" s="79"/>
      <c r="AN440" s="79"/>
      <c r="AO440" s="79"/>
      <c r="AP440" s="79"/>
      <c r="AQ440" s="79"/>
    </row>
    <row r="441" spans="28:43" x14ac:dyDescent="0.3">
      <c r="AB441" s="79"/>
      <c r="AC441" s="79"/>
      <c r="AD441" s="79"/>
      <c r="AE441" s="79"/>
      <c r="AF441" s="79"/>
      <c r="AG441" s="79"/>
      <c r="AH441" s="79"/>
      <c r="AI441" s="79"/>
      <c r="AJ441" s="125"/>
      <c r="AK441" s="79"/>
      <c r="AL441" s="79"/>
      <c r="AM441" s="79"/>
      <c r="AN441" s="79"/>
      <c r="AO441" s="79"/>
      <c r="AP441" s="79"/>
      <c r="AQ441" s="79"/>
    </row>
    <row r="442" spans="28:43" x14ac:dyDescent="0.3">
      <c r="AB442" s="79"/>
      <c r="AC442" s="79"/>
      <c r="AD442" s="79"/>
      <c r="AE442" s="79"/>
      <c r="AF442" s="79"/>
      <c r="AG442" s="79"/>
      <c r="AH442" s="79"/>
      <c r="AI442" s="79"/>
      <c r="AJ442" s="125"/>
      <c r="AK442" s="79"/>
      <c r="AL442" s="79"/>
      <c r="AM442" s="79"/>
      <c r="AN442" s="79"/>
      <c r="AO442" s="79"/>
      <c r="AP442" s="79"/>
      <c r="AQ442" s="79"/>
    </row>
    <row r="443" spans="28:43" x14ac:dyDescent="0.3">
      <c r="AB443" s="79"/>
      <c r="AC443" s="79"/>
      <c r="AD443" s="79"/>
      <c r="AE443" s="79"/>
      <c r="AF443" s="79"/>
      <c r="AG443" s="79"/>
      <c r="AH443" s="79"/>
      <c r="AI443" s="79"/>
      <c r="AJ443" s="125"/>
      <c r="AK443" s="79"/>
      <c r="AL443" s="79"/>
      <c r="AM443" s="79"/>
      <c r="AN443" s="79"/>
      <c r="AO443" s="79"/>
      <c r="AP443" s="79"/>
      <c r="AQ443" s="79"/>
    </row>
    <row r="444" spans="28:43" x14ac:dyDescent="0.3">
      <c r="AB444" s="79"/>
      <c r="AC444" s="79"/>
      <c r="AD444" s="79"/>
      <c r="AE444" s="79"/>
      <c r="AF444" s="79"/>
      <c r="AG444" s="79"/>
      <c r="AH444" s="79"/>
      <c r="AI444" s="79"/>
      <c r="AJ444" s="125"/>
      <c r="AK444" s="79"/>
      <c r="AL444" s="79"/>
      <c r="AM444" s="79"/>
      <c r="AN444" s="79"/>
      <c r="AO444" s="79"/>
      <c r="AP444" s="79"/>
      <c r="AQ444" s="79"/>
    </row>
    <row r="445" spans="28:43" x14ac:dyDescent="0.3">
      <c r="AB445" s="79"/>
      <c r="AC445" s="79"/>
      <c r="AD445" s="79"/>
      <c r="AE445" s="79"/>
      <c r="AF445" s="79"/>
      <c r="AG445" s="79"/>
      <c r="AH445" s="79"/>
      <c r="AI445" s="79"/>
      <c r="AJ445" s="125"/>
      <c r="AK445" s="79"/>
      <c r="AL445" s="79"/>
      <c r="AM445" s="79"/>
      <c r="AN445" s="79"/>
      <c r="AO445" s="79"/>
      <c r="AP445" s="79"/>
      <c r="AQ445" s="79"/>
    </row>
    <row r="446" spans="28:43" x14ac:dyDescent="0.3">
      <c r="AB446" s="79"/>
      <c r="AC446" s="79"/>
      <c r="AD446" s="79"/>
      <c r="AE446" s="79"/>
      <c r="AF446" s="79"/>
      <c r="AG446" s="79"/>
      <c r="AH446" s="79"/>
      <c r="AI446" s="79"/>
      <c r="AJ446" s="125"/>
      <c r="AK446" s="79"/>
      <c r="AL446" s="79"/>
      <c r="AM446" s="79"/>
      <c r="AN446" s="79"/>
      <c r="AO446" s="79"/>
      <c r="AP446" s="79"/>
      <c r="AQ446" s="79"/>
    </row>
    <row r="447" spans="28:43" x14ac:dyDescent="0.3">
      <c r="AB447" s="79"/>
      <c r="AC447" s="79"/>
      <c r="AD447" s="79"/>
      <c r="AE447" s="79"/>
      <c r="AF447" s="79"/>
      <c r="AG447" s="79"/>
      <c r="AH447" s="79"/>
      <c r="AI447" s="79"/>
      <c r="AJ447" s="125"/>
      <c r="AK447" s="79"/>
      <c r="AL447" s="79"/>
      <c r="AM447" s="79"/>
      <c r="AN447" s="79"/>
      <c r="AO447" s="79"/>
      <c r="AP447" s="79"/>
      <c r="AQ447" s="79"/>
    </row>
    <row r="448" spans="28:43" x14ac:dyDescent="0.3">
      <c r="AB448" s="79"/>
      <c r="AC448" s="79"/>
      <c r="AD448" s="79"/>
      <c r="AE448" s="79"/>
      <c r="AF448" s="79"/>
      <c r="AG448" s="79"/>
      <c r="AH448" s="79"/>
      <c r="AI448" s="79"/>
      <c r="AJ448" s="125"/>
      <c r="AK448" s="79"/>
      <c r="AL448" s="79"/>
      <c r="AM448" s="79"/>
      <c r="AN448" s="79"/>
      <c r="AO448" s="79"/>
      <c r="AP448" s="79"/>
      <c r="AQ448" s="79"/>
    </row>
    <row r="449" spans="28:43" x14ac:dyDescent="0.3">
      <c r="AB449" s="79"/>
      <c r="AC449" s="79"/>
      <c r="AD449" s="79"/>
      <c r="AE449" s="79"/>
      <c r="AF449" s="79"/>
      <c r="AG449" s="79"/>
      <c r="AH449" s="79"/>
      <c r="AI449" s="79"/>
      <c r="AJ449" s="125"/>
      <c r="AK449" s="79"/>
      <c r="AL449" s="79"/>
      <c r="AM449" s="79"/>
      <c r="AN449" s="79"/>
      <c r="AO449" s="79"/>
      <c r="AP449" s="79"/>
      <c r="AQ449" s="79"/>
    </row>
    <row r="450" spans="28:43" x14ac:dyDescent="0.3">
      <c r="AB450" s="79"/>
      <c r="AC450" s="79"/>
      <c r="AD450" s="79"/>
      <c r="AE450" s="79"/>
      <c r="AF450" s="79"/>
      <c r="AG450" s="79"/>
      <c r="AH450" s="79"/>
      <c r="AI450" s="79"/>
      <c r="AJ450" s="125"/>
      <c r="AK450" s="79"/>
      <c r="AL450" s="79"/>
      <c r="AM450" s="79"/>
      <c r="AN450" s="79"/>
      <c r="AO450" s="79"/>
      <c r="AP450" s="79"/>
      <c r="AQ450" s="79"/>
    </row>
    <row r="451" spans="28:43" x14ac:dyDescent="0.3">
      <c r="AB451" s="79"/>
      <c r="AC451" s="79"/>
      <c r="AD451" s="79"/>
      <c r="AE451" s="79"/>
      <c r="AF451" s="79"/>
      <c r="AG451" s="79"/>
      <c r="AH451" s="79"/>
      <c r="AI451" s="79"/>
      <c r="AJ451" s="125"/>
      <c r="AK451" s="79"/>
      <c r="AL451" s="79"/>
      <c r="AM451" s="79"/>
      <c r="AN451" s="79"/>
      <c r="AO451" s="79"/>
      <c r="AP451" s="79"/>
      <c r="AQ451" s="79"/>
    </row>
    <row r="452" spans="28:43" x14ac:dyDescent="0.3">
      <c r="AB452" s="79"/>
      <c r="AC452" s="79"/>
      <c r="AD452" s="79"/>
      <c r="AE452" s="79"/>
      <c r="AF452" s="79"/>
      <c r="AG452" s="79"/>
      <c r="AH452" s="79"/>
      <c r="AI452" s="79"/>
      <c r="AJ452" s="125"/>
      <c r="AK452" s="79"/>
      <c r="AL452" s="79"/>
      <c r="AM452" s="79"/>
      <c r="AN452" s="79"/>
      <c r="AO452" s="79"/>
      <c r="AP452" s="79"/>
      <c r="AQ452" s="79"/>
    </row>
    <row r="453" spans="28:43" x14ac:dyDescent="0.3">
      <c r="AB453" s="79"/>
      <c r="AC453" s="79"/>
      <c r="AD453" s="79"/>
      <c r="AE453" s="79"/>
      <c r="AF453" s="79"/>
      <c r="AG453" s="79"/>
      <c r="AH453" s="79"/>
      <c r="AI453" s="79"/>
      <c r="AJ453" s="125"/>
      <c r="AK453" s="79"/>
      <c r="AL453" s="79"/>
      <c r="AM453" s="79"/>
      <c r="AN453" s="79"/>
      <c r="AO453" s="79"/>
      <c r="AP453" s="79"/>
      <c r="AQ453" s="79"/>
    </row>
    <row r="454" spans="28:43" x14ac:dyDescent="0.3">
      <c r="AB454" s="79"/>
      <c r="AC454" s="79"/>
      <c r="AD454" s="79"/>
      <c r="AE454" s="79"/>
      <c r="AF454" s="79"/>
      <c r="AG454" s="79"/>
      <c r="AH454" s="79"/>
      <c r="AI454" s="79"/>
      <c r="AJ454" s="125"/>
      <c r="AK454" s="79"/>
      <c r="AL454" s="79"/>
      <c r="AM454" s="79"/>
      <c r="AN454" s="79"/>
      <c r="AO454" s="79"/>
      <c r="AP454" s="79"/>
      <c r="AQ454" s="79"/>
    </row>
    <row r="455" spans="28:43" x14ac:dyDescent="0.3">
      <c r="AB455" s="79"/>
      <c r="AC455" s="79"/>
      <c r="AD455" s="79"/>
      <c r="AE455" s="79"/>
      <c r="AF455" s="79"/>
      <c r="AG455" s="79"/>
      <c r="AH455" s="79"/>
      <c r="AI455" s="79"/>
      <c r="AJ455" s="125"/>
      <c r="AK455" s="79"/>
      <c r="AL455" s="79"/>
      <c r="AM455" s="79"/>
      <c r="AN455" s="79"/>
      <c r="AO455" s="79"/>
      <c r="AP455" s="79"/>
      <c r="AQ455" s="79"/>
    </row>
    <row r="456" spans="28:43" x14ac:dyDescent="0.3">
      <c r="AB456" s="79"/>
      <c r="AC456" s="79"/>
      <c r="AD456" s="79"/>
      <c r="AE456" s="79"/>
      <c r="AF456" s="79"/>
      <c r="AG456" s="79"/>
      <c r="AH456" s="79"/>
      <c r="AI456" s="79"/>
      <c r="AJ456" s="125"/>
      <c r="AK456" s="79"/>
      <c r="AL456" s="79"/>
      <c r="AM456" s="79"/>
      <c r="AN456" s="79"/>
      <c r="AO456" s="79"/>
      <c r="AP456" s="79"/>
      <c r="AQ456" s="79"/>
    </row>
    <row r="457" spans="28:43" x14ac:dyDescent="0.3">
      <c r="AB457" s="79"/>
      <c r="AC457" s="79"/>
      <c r="AD457" s="79"/>
      <c r="AE457" s="79"/>
      <c r="AF457" s="79"/>
      <c r="AG457" s="79"/>
      <c r="AH457" s="79"/>
      <c r="AI457" s="79"/>
      <c r="AJ457" s="125"/>
      <c r="AK457" s="79"/>
      <c r="AL457" s="79"/>
      <c r="AM457" s="79"/>
      <c r="AN457" s="79"/>
      <c r="AO457" s="79"/>
      <c r="AP457" s="79"/>
      <c r="AQ457" s="79"/>
    </row>
    <row r="458" spans="28:43" x14ac:dyDescent="0.3">
      <c r="AB458" s="79"/>
      <c r="AC458" s="79"/>
      <c r="AD458" s="79"/>
      <c r="AE458" s="79"/>
      <c r="AF458" s="79"/>
      <c r="AG458" s="79"/>
      <c r="AH458" s="79"/>
      <c r="AI458" s="79"/>
      <c r="AJ458" s="125"/>
      <c r="AK458" s="79"/>
      <c r="AL458" s="79"/>
      <c r="AM458" s="79"/>
      <c r="AN458" s="79"/>
      <c r="AO458" s="79"/>
      <c r="AP458" s="79"/>
      <c r="AQ458" s="79"/>
    </row>
    <row r="459" spans="28:43" x14ac:dyDescent="0.3">
      <c r="AB459" s="79"/>
      <c r="AC459" s="79"/>
      <c r="AD459" s="79"/>
      <c r="AE459" s="79"/>
      <c r="AF459" s="79"/>
      <c r="AG459" s="79"/>
      <c r="AH459" s="79"/>
      <c r="AI459" s="79"/>
      <c r="AJ459" s="125"/>
      <c r="AK459" s="79"/>
      <c r="AL459" s="79"/>
      <c r="AM459" s="79"/>
      <c r="AN459" s="79"/>
      <c r="AO459" s="79"/>
      <c r="AP459" s="79"/>
      <c r="AQ459" s="79"/>
    </row>
    <row r="460" spans="28:43" x14ac:dyDescent="0.3">
      <c r="AB460" s="79"/>
      <c r="AC460" s="79"/>
      <c r="AD460" s="79"/>
      <c r="AE460" s="79"/>
      <c r="AF460" s="79"/>
      <c r="AG460" s="79"/>
      <c r="AH460" s="79"/>
      <c r="AI460" s="79"/>
      <c r="AJ460" s="125"/>
      <c r="AK460" s="79"/>
      <c r="AL460" s="79"/>
      <c r="AM460" s="79"/>
      <c r="AN460" s="79"/>
      <c r="AO460" s="79"/>
      <c r="AP460" s="79"/>
      <c r="AQ460" s="79"/>
    </row>
    <row r="461" spans="28:43" x14ac:dyDescent="0.3">
      <c r="AB461" s="79"/>
      <c r="AC461" s="79"/>
      <c r="AD461" s="79"/>
      <c r="AE461" s="79"/>
      <c r="AF461" s="79"/>
      <c r="AG461" s="79"/>
      <c r="AH461" s="79"/>
      <c r="AI461" s="79"/>
      <c r="AJ461" s="125"/>
      <c r="AK461" s="79"/>
      <c r="AL461" s="79"/>
      <c r="AM461" s="79"/>
      <c r="AN461" s="79"/>
      <c r="AO461" s="79"/>
      <c r="AP461" s="79"/>
      <c r="AQ461" s="79"/>
    </row>
    <row r="462" spans="28:43" x14ac:dyDescent="0.3">
      <c r="AB462" s="79"/>
      <c r="AC462" s="79"/>
      <c r="AD462" s="79"/>
      <c r="AE462" s="79"/>
      <c r="AF462" s="79"/>
      <c r="AG462" s="79"/>
      <c r="AH462" s="79"/>
      <c r="AI462" s="79"/>
      <c r="AJ462" s="125"/>
      <c r="AK462" s="79"/>
      <c r="AL462" s="79"/>
      <c r="AM462" s="79"/>
      <c r="AN462" s="79"/>
      <c r="AO462" s="79"/>
      <c r="AP462" s="79"/>
      <c r="AQ462" s="79"/>
    </row>
    <row r="463" spans="28:43" x14ac:dyDescent="0.3">
      <c r="AB463" s="79"/>
      <c r="AC463" s="79"/>
      <c r="AD463" s="79"/>
      <c r="AE463" s="79"/>
      <c r="AF463" s="79"/>
      <c r="AG463" s="79"/>
      <c r="AH463" s="79"/>
      <c r="AI463" s="79"/>
      <c r="AJ463" s="125"/>
      <c r="AK463" s="79"/>
      <c r="AL463" s="79"/>
      <c r="AM463" s="79"/>
      <c r="AN463" s="79"/>
      <c r="AO463" s="79"/>
      <c r="AP463" s="79"/>
      <c r="AQ463" s="79"/>
    </row>
    <row r="464" spans="28:43" x14ac:dyDescent="0.3">
      <c r="AB464" s="79"/>
      <c r="AC464" s="79"/>
      <c r="AD464" s="79"/>
      <c r="AE464" s="79"/>
      <c r="AF464" s="79"/>
      <c r="AG464" s="79"/>
      <c r="AH464" s="79"/>
      <c r="AI464" s="79"/>
      <c r="AJ464" s="125"/>
      <c r="AK464" s="79"/>
      <c r="AL464" s="79"/>
      <c r="AM464" s="79"/>
      <c r="AN464" s="79"/>
      <c r="AO464" s="79"/>
      <c r="AP464" s="79"/>
      <c r="AQ464" s="79"/>
    </row>
    <row r="465" spans="28:43" x14ac:dyDescent="0.3">
      <c r="AB465" s="79"/>
      <c r="AC465" s="79"/>
      <c r="AD465" s="79"/>
      <c r="AE465" s="79"/>
      <c r="AF465" s="79"/>
      <c r="AG465" s="79"/>
      <c r="AH465" s="79"/>
      <c r="AI465" s="79"/>
      <c r="AJ465" s="125"/>
      <c r="AK465" s="79"/>
      <c r="AL465" s="79"/>
      <c r="AM465" s="79"/>
      <c r="AN465" s="79"/>
      <c r="AO465" s="79"/>
      <c r="AP465" s="79"/>
      <c r="AQ465" s="79"/>
    </row>
    <row r="466" spans="28:43" x14ac:dyDescent="0.3">
      <c r="AB466" s="79"/>
      <c r="AC466" s="79"/>
      <c r="AD466" s="79"/>
      <c r="AE466" s="79"/>
      <c r="AF466" s="79"/>
      <c r="AG466" s="79"/>
      <c r="AH466" s="79"/>
      <c r="AI466" s="79"/>
      <c r="AJ466" s="125"/>
      <c r="AK466" s="79"/>
      <c r="AL466" s="79"/>
      <c r="AM466" s="79"/>
      <c r="AN466" s="79"/>
      <c r="AO466" s="79"/>
      <c r="AP466" s="79"/>
      <c r="AQ466" s="79"/>
    </row>
    <row r="467" spans="28:43" x14ac:dyDescent="0.3">
      <c r="AB467" s="79"/>
      <c r="AC467" s="79"/>
      <c r="AD467" s="79"/>
      <c r="AE467" s="79"/>
      <c r="AF467" s="79"/>
      <c r="AG467" s="79"/>
      <c r="AH467" s="79"/>
      <c r="AI467" s="79"/>
      <c r="AJ467" s="125"/>
      <c r="AK467" s="79"/>
      <c r="AL467" s="79"/>
      <c r="AM467" s="79"/>
      <c r="AN467" s="79"/>
      <c r="AO467" s="79"/>
      <c r="AP467" s="79"/>
      <c r="AQ467" s="79"/>
    </row>
    <row r="468" spans="28:43" x14ac:dyDescent="0.3">
      <c r="AB468" s="79"/>
      <c r="AC468" s="79"/>
      <c r="AD468" s="79"/>
      <c r="AE468" s="79"/>
      <c r="AF468" s="79"/>
      <c r="AG468" s="79"/>
      <c r="AH468" s="79"/>
      <c r="AI468" s="79"/>
      <c r="AJ468" s="125"/>
      <c r="AK468" s="79"/>
      <c r="AL468" s="79"/>
      <c r="AM468" s="79"/>
      <c r="AN468" s="79"/>
      <c r="AO468" s="79"/>
      <c r="AP468" s="79"/>
      <c r="AQ468" s="79"/>
    </row>
    <row r="469" spans="28:43" x14ac:dyDescent="0.3">
      <c r="AB469" s="79"/>
      <c r="AC469" s="79"/>
      <c r="AD469" s="79"/>
      <c r="AE469" s="79"/>
      <c r="AF469" s="79"/>
      <c r="AG469" s="79"/>
      <c r="AH469" s="79"/>
      <c r="AI469" s="79"/>
      <c r="AJ469" s="125"/>
      <c r="AK469" s="79"/>
      <c r="AL469" s="79"/>
      <c r="AM469" s="79"/>
      <c r="AN469" s="79"/>
      <c r="AO469" s="79"/>
      <c r="AP469" s="79"/>
      <c r="AQ469" s="79"/>
    </row>
    <row r="470" spans="28:43" x14ac:dyDescent="0.3">
      <c r="AB470" s="79"/>
      <c r="AC470" s="79"/>
      <c r="AD470" s="79"/>
      <c r="AE470" s="79"/>
      <c r="AF470" s="79"/>
      <c r="AG470" s="79"/>
      <c r="AH470" s="79"/>
      <c r="AI470" s="79"/>
      <c r="AJ470" s="125"/>
      <c r="AK470" s="79"/>
      <c r="AL470" s="79"/>
      <c r="AM470" s="79"/>
      <c r="AN470" s="79"/>
      <c r="AO470" s="79"/>
      <c r="AP470" s="79"/>
      <c r="AQ470" s="79"/>
    </row>
    <row r="471" spans="28:43" x14ac:dyDescent="0.3">
      <c r="AB471" s="79"/>
      <c r="AC471" s="79"/>
      <c r="AD471" s="79"/>
      <c r="AE471" s="79"/>
      <c r="AF471" s="79"/>
      <c r="AG471" s="79"/>
      <c r="AH471" s="79"/>
      <c r="AI471" s="79"/>
      <c r="AJ471" s="125"/>
      <c r="AK471" s="79"/>
      <c r="AL471" s="79"/>
      <c r="AM471" s="79"/>
      <c r="AN471" s="79"/>
      <c r="AO471" s="79"/>
      <c r="AP471" s="79"/>
      <c r="AQ471" s="79"/>
    </row>
    <row r="472" spans="28:43" x14ac:dyDescent="0.3">
      <c r="AB472" s="79"/>
      <c r="AC472" s="79"/>
      <c r="AD472" s="79"/>
      <c r="AE472" s="79"/>
      <c r="AF472" s="79"/>
      <c r="AG472" s="79"/>
      <c r="AH472" s="79"/>
      <c r="AI472" s="79"/>
      <c r="AJ472" s="125"/>
      <c r="AK472" s="79"/>
      <c r="AL472" s="79"/>
      <c r="AM472" s="79"/>
      <c r="AN472" s="79"/>
      <c r="AO472" s="79"/>
      <c r="AP472" s="79"/>
      <c r="AQ472" s="79"/>
    </row>
    <row r="473" spans="28:43" x14ac:dyDescent="0.3">
      <c r="AB473" s="79"/>
      <c r="AC473" s="79"/>
      <c r="AD473" s="79"/>
      <c r="AE473" s="79"/>
      <c r="AF473" s="79"/>
      <c r="AG473" s="79"/>
      <c r="AH473" s="79"/>
      <c r="AI473" s="79"/>
      <c r="AJ473" s="125"/>
      <c r="AK473" s="79"/>
      <c r="AL473" s="79"/>
      <c r="AM473" s="79"/>
      <c r="AN473" s="79"/>
      <c r="AO473" s="79"/>
      <c r="AP473" s="79"/>
      <c r="AQ473" s="79"/>
    </row>
    <row r="474" spans="28:43" x14ac:dyDescent="0.3">
      <c r="AB474" s="79"/>
      <c r="AC474" s="79"/>
      <c r="AD474" s="79"/>
      <c r="AE474" s="79"/>
      <c r="AF474" s="79"/>
      <c r="AG474" s="79"/>
      <c r="AH474" s="79"/>
      <c r="AI474" s="79"/>
      <c r="AJ474" s="125"/>
      <c r="AK474" s="79"/>
      <c r="AL474" s="79"/>
      <c r="AM474" s="79"/>
      <c r="AN474" s="79"/>
      <c r="AO474" s="79"/>
      <c r="AP474" s="79"/>
      <c r="AQ474" s="79"/>
    </row>
    <row r="475" spans="28:43" x14ac:dyDescent="0.3">
      <c r="AB475" s="79"/>
      <c r="AC475" s="79"/>
      <c r="AD475" s="79"/>
      <c r="AE475" s="79"/>
      <c r="AF475" s="79"/>
      <c r="AG475" s="79"/>
      <c r="AH475" s="79"/>
      <c r="AI475" s="79"/>
      <c r="AJ475" s="125"/>
      <c r="AK475" s="79"/>
      <c r="AL475" s="79"/>
      <c r="AM475" s="79"/>
      <c r="AN475" s="79"/>
      <c r="AO475" s="79"/>
      <c r="AP475" s="79"/>
      <c r="AQ475" s="79"/>
    </row>
    <row r="476" spans="28:43" x14ac:dyDescent="0.3">
      <c r="AB476" s="79"/>
      <c r="AC476" s="79"/>
      <c r="AD476" s="79"/>
      <c r="AE476" s="79"/>
      <c r="AF476" s="79"/>
      <c r="AG476" s="79"/>
      <c r="AH476" s="79"/>
      <c r="AI476" s="79"/>
      <c r="AJ476" s="125"/>
      <c r="AK476" s="79"/>
      <c r="AL476" s="79"/>
      <c r="AM476" s="79"/>
      <c r="AN476" s="79"/>
      <c r="AO476" s="79"/>
      <c r="AP476" s="79"/>
      <c r="AQ476" s="79"/>
    </row>
    <row r="477" spans="28:43" x14ac:dyDescent="0.3">
      <c r="AB477" s="79"/>
      <c r="AC477" s="79"/>
      <c r="AD477" s="79"/>
      <c r="AE477" s="79"/>
      <c r="AF477" s="79"/>
      <c r="AG477" s="79"/>
      <c r="AH477" s="79"/>
      <c r="AI477" s="79"/>
      <c r="AJ477" s="125"/>
      <c r="AK477" s="79"/>
      <c r="AL477" s="79"/>
      <c r="AM477" s="79"/>
      <c r="AN477" s="79"/>
      <c r="AO477" s="79"/>
      <c r="AP477" s="79"/>
      <c r="AQ477" s="79"/>
    </row>
    <row r="478" spans="28:43" x14ac:dyDescent="0.3">
      <c r="AB478" s="79"/>
      <c r="AC478" s="79"/>
      <c r="AD478" s="79"/>
      <c r="AE478" s="79"/>
      <c r="AF478" s="79"/>
      <c r="AG478" s="79"/>
      <c r="AH478" s="79"/>
      <c r="AI478" s="79"/>
      <c r="AJ478" s="125"/>
      <c r="AK478" s="79"/>
      <c r="AL478" s="79"/>
      <c r="AM478" s="79"/>
      <c r="AN478" s="79"/>
      <c r="AO478" s="79"/>
      <c r="AP478" s="79"/>
      <c r="AQ478" s="79"/>
    </row>
    <row r="479" spans="28:43" x14ac:dyDescent="0.3">
      <c r="AB479" s="79"/>
      <c r="AC479" s="79"/>
      <c r="AD479" s="79"/>
      <c r="AE479" s="79"/>
      <c r="AF479" s="79"/>
      <c r="AG479" s="79"/>
      <c r="AH479" s="79"/>
      <c r="AI479" s="79"/>
      <c r="AJ479" s="125"/>
      <c r="AK479" s="79"/>
      <c r="AL479" s="79"/>
      <c r="AM479" s="79"/>
      <c r="AN479" s="79"/>
      <c r="AO479" s="79"/>
      <c r="AP479" s="79"/>
      <c r="AQ479" s="79"/>
    </row>
    <row r="480" spans="28:43" x14ac:dyDescent="0.3">
      <c r="AB480" s="79"/>
      <c r="AC480" s="79"/>
      <c r="AD480" s="79"/>
      <c r="AE480" s="79"/>
      <c r="AF480" s="79"/>
      <c r="AG480" s="79"/>
      <c r="AH480" s="79"/>
      <c r="AI480" s="79"/>
      <c r="AJ480" s="125"/>
      <c r="AK480" s="79"/>
      <c r="AL480" s="79"/>
      <c r="AM480" s="79"/>
      <c r="AN480" s="79"/>
      <c r="AO480" s="79"/>
      <c r="AP480" s="79"/>
      <c r="AQ480" s="79"/>
    </row>
    <row r="481" spans="28:43" x14ac:dyDescent="0.3">
      <c r="AB481" s="79"/>
      <c r="AC481" s="79"/>
      <c r="AD481" s="79"/>
      <c r="AE481" s="79"/>
      <c r="AF481" s="79"/>
      <c r="AG481" s="79"/>
      <c r="AH481" s="79"/>
      <c r="AI481" s="79"/>
      <c r="AJ481" s="125"/>
      <c r="AK481" s="79"/>
      <c r="AL481" s="79"/>
      <c r="AM481" s="79"/>
      <c r="AN481" s="79"/>
      <c r="AO481" s="79"/>
      <c r="AP481" s="79"/>
      <c r="AQ481" s="79"/>
    </row>
    <row r="482" spans="28:43" x14ac:dyDescent="0.3">
      <c r="AB482" s="79"/>
      <c r="AC482" s="79"/>
      <c r="AD482" s="79"/>
      <c r="AE482" s="79"/>
      <c r="AF482" s="79"/>
      <c r="AG482" s="79"/>
      <c r="AH482" s="79"/>
      <c r="AI482" s="79"/>
      <c r="AJ482" s="125"/>
      <c r="AK482" s="79"/>
      <c r="AL482" s="79"/>
      <c r="AM482" s="79"/>
      <c r="AN482" s="79"/>
      <c r="AO482" s="79"/>
      <c r="AP482" s="79"/>
      <c r="AQ482" s="79"/>
    </row>
    <row r="483" spans="28:43" x14ac:dyDescent="0.3">
      <c r="AB483" s="79"/>
      <c r="AC483" s="79"/>
      <c r="AD483" s="79"/>
      <c r="AE483" s="79"/>
      <c r="AF483" s="79"/>
      <c r="AG483" s="79"/>
      <c r="AH483" s="79"/>
      <c r="AI483" s="79"/>
      <c r="AJ483" s="125"/>
      <c r="AK483" s="79"/>
      <c r="AL483" s="79"/>
      <c r="AM483" s="79"/>
      <c r="AN483" s="79"/>
      <c r="AO483" s="79"/>
      <c r="AP483" s="79"/>
      <c r="AQ483" s="79"/>
    </row>
    <row r="484" spans="28:43" x14ac:dyDescent="0.3">
      <c r="AB484" s="79"/>
      <c r="AC484" s="79"/>
      <c r="AD484" s="79"/>
      <c r="AE484" s="79"/>
      <c r="AF484" s="79"/>
      <c r="AG484" s="79"/>
      <c r="AH484" s="79"/>
      <c r="AI484" s="79"/>
      <c r="AJ484" s="125"/>
      <c r="AK484" s="79"/>
      <c r="AL484" s="79"/>
      <c r="AM484" s="79"/>
      <c r="AN484" s="79"/>
      <c r="AO484" s="79"/>
      <c r="AP484" s="79"/>
      <c r="AQ484" s="79"/>
    </row>
    <row r="485" spans="28:43" x14ac:dyDescent="0.3">
      <c r="AB485" s="79"/>
      <c r="AC485" s="79"/>
      <c r="AD485" s="79"/>
      <c r="AE485" s="79"/>
      <c r="AF485" s="79"/>
      <c r="AG485" s="79"/>
      <c r="AH485" s="79"/>
      <c r="AI485" s="79"/>
      <c r="AJ485" s="125"/>
      <c r="AK485" s="79"/>
      <c r="AL485" s="79"/>
      <c r="AM485" s="79"/>
      <c r="AN485" s="79"/>
      <c r="AO485" s="79"/>
      <c r="AP485" s="79"/>
      <c r="AQ485" s="79"/>
    </row>
    <row r="486" spans="28:43" x14ac:dyDescent="0.3">
      <c r="AB486" s="79"/>
      <c r="AC486" s="79"/>
      <c r="AD486" s="79"/>
      <c r="AE486" s="79"/>
      <c r="AF486" s="79"/>
      <c r="AG486" s="79"/>
      <c r="AH486" s="79"/>
      <c r="AI486" s="79"/>
      <c r="AJ486" s="125"/>
      <c r="AK486" s="79"/>
      <c r="AL486" s="79"/>
      <c r="AM486" s="79"/>
      <c r="AN486" s="79"/>
      <c r="AO486" s="79"/>
      <c r="AP486" s="79"/>
      <c r="AQ486" s="79"/>
    </row>
    <row r="487" spans="28:43" x14ac:dyDescent="0.3">
      <c r="AB487" s="79"/>
      <c r="AC487" s="79"/>
      <c r="AD487" s="79"/>
      <c r="AE487" s="79"/>
      <c r="AF487" s="79"/>
      <c r="AG487" s="79"/>
      <c r="AH487" s="79"/>
      <c r="AI487" s="79"/>
      <c r="AJ487" s="125"/>
      <c r="AK487" s="79"/>
      <c r="AL487" s="79"/>
      <c r="AM487" s="79"/>
      <c r="AN487" s="79"/>
      <c r="AO487" s="79"/>
      <c r="AP487" s="79"/>
      <c r="AQ487" s="79"/>
    </row>
    <row r="488" spans="28:43" x14ac:dyDescent="0.3">
      <c r="AB488" s="79"/>
      <c r="AC488" s="79"/>
      <c r="AD488" s="79"/>
      <c r="AE488" s="79"/>
      <c r="AF488" s="79"/>
      <c r="AG488" s="79"/>
      <c r="AH488" s="79"/>
      <c r="AI488" s="79"/>
      <c r="AJ488" s="125"/>
      <c r="AK488" s="79"/>
      <c r="AL488" s="79"/>
      <c r="AM488" s="79"/>
      <c r="AN488" s="79"/>
      <c r="AO488" s="79"/>
      <c r="AP488" s="79"/>
      <c r="AQ488" s="79"/>
    </row>
    <row r="489" spans="28:43" x14ac:dyDescent="0.3">
      <c r="AB489" s="79"/>
      <c r="AC489" s="79"/>
      <c r="AD489" s="79"/>
      <c r="AE489" s="79"/>
      <c r="AF489" s="79"/>
      <c r="AG489" s="79"/>
      <c r="AH489" s="79"/>
      <c r="AI489" s="79"/>
      <c r="AJ489" s="125"/>
      <c r="AK489" s="79"/>
      <c r="AL489" s="79"/>
      <c r="AM489" s="79"/>
      <c r="AN489" s="79"/>
      <c r="AO489" s="79"/>
      <c r="AP489" s="79"/>
      <c r="AQ489" s="79"/>
    </row>
    <row r="490" spans="28:43" x14ac:dyDescent="0.3">
      <c r="AB490" s="79"/>
      <c r="AC490" s="79"/>
      <c r="AD490" s="79"/>
      <c r="AE490" s="79"/>
      <c r="AF490" s="79"/>
      <c r="AG490" s="79"/>
      <c r="AH490" s="79"/>
      <c r="AI490" s="79"/>
      <c r="AJ490" s="125"/>
      <c r="AK490" s="79"/>
      <c r="AL490" s="79"/>
      <c r="AM490" s="79"/>
      <c r="AN490" s="79"/>
      <c r="AO490" s="79"/>
      <c r="AP490" s="79"/>
      <c r="AQ490" s="79"/>
    </row>
    <row r="491" spans="28:43" x14ac:dyDescent="0.3">
      <c r="AB491" s="79"/>
      <c r="AC491" s="79"/>
      <c r="AD491" s="79"/>
      <c r="AE491" s="79"/>
      <c r="AF491" s="79"/>
      <c r="AG491" s="79"/>
      <c r="AH491" s="79"/>
      <c r="AI491" s="79"/>
      <c r="AJ491" s="125"/>
      <c r="AK491" s="79"/>
      <c r="AL491" s="79"/>
      <c r="AM491" s="79"/>
      <c r="AN491" s="79"/>
      <c r="AO491" s="79"/>
      <c r="AP491" s="79"/>
      <c r="AQ491" s="79"/>
    </row>
    <row r="492" spans="28:43" x14ac:dyDescent="0.3">
      <c r="AB492" s="79"/>
      <c r="AC492" s="79"/>
      <c r="AD492" s="79"/>
      <c r="AE492" s="79"/>
      <c r="AF492" s="79"/>
      <c r="AG492" s="79"/>
      <c r="AH492" s="79"/>
      <c r="AI492" s="79"/>
      <c r="AJ492" s="125"/>
      <c r="AK492" s="79"/>
      <c r="AL492" s="79"/>
      <c r="AM492" s="79"/>
      <c r="AN492" s="79"/>
      <c r="AO492" s="79"/>
      <c r="AP492" s="79"/>
      <c r="AQ492" s="79"/>
    </row>
    <row r="493" spans="28:43" x14ac:dyDescent="0.3">
      <c r="AB493" s="79"/>
      <c r="AC493" s="79"/>
      <c r="AD493" s="79"/>
      <c r="AE493" s="79"/>
      <c r="AF493" s="79"/>
      <c r="AG493" s="79"/>
      <c r="AH493" s="79"/>
      <c r="AI493" s="79"/>
      <c r="AJ493" s="125"/>
      <c r="AK493" s="79"/>
      <c r="AL493" s="79"/>
      <c r="AM493" s="79"/>
      <c r="AN493" s="79"/>
      <c r="AO493" s="79"/>
      <c r="AP493" s="79"/>
      <c r="AQ493" s="79"/>
    </row>
    <row r="494" spans="28:43" x14ac:dyDescent="0.3">
      <c r="AB494" s="79"/>
      <c r="AC494" s="79"/>
      <c r="AD494" s="79"/>
      <c r="AE494" s="79"/>
      <c r="AF494" s="79"/>
      <c r="AG494" s="79"/>
      <c r="AH494" s="79"/>
      <c r="AI494" s="79"/>
      <c r="AJ494" s="125"/>
      <c r="AK494" s="79"/>
      <c r="AL494" s="79"/>
      <c r="AM494" s="79"/>
      <c r="AN494" s="79"/>
      <c r="AO494" s="79"/>
      <c r="AP494" s="79"/>
      <c r="AQ494" s="79"/>
    </row>
    <row r="495" spans="28:43" x14ac:dyDescent="0.3">
      <c r="AB495" s="79"/>
      <c r="AC495" s="79"/>
      <c r="AD495" s="79"/>
      <c r="AE495" s="79"/>
      <c r="AF495" s="79"/>
      <c r="AG495" s="79"/>
      <c r="AH495" s="79"/>
      <c r="AI495" s="79"/>
      <c r="AJ495" s="125"/>
      <c r="AK495" s="79"/>
      <c r="AL495" s="79"/>
      <c r="AM495" s="79"/>
      <c r="AN495" s="79"/>
      <c r="AO495" s="79"/>
      <c r="AP495" s="79"/>
      <c r="AQ495" s="79"/>
    </row>
    <row r="496" spans="28:43" x14ac:dyDescent="0.3">
      <c r="AB496" s="79"/>
      <c r="AC496" s="79"/>
      <c r="AD496" s="79"/>
      <c r="AE496" s="79"/>
      <c r="AF496" s="79"/>
      <c r="AG496" s="79"/>
      <c r="AH496" s="79"/>
      <c r="AI496" s="79"/>
      <c r="AJ496" s="125"/>
      <c r="AK496" s="79"/>
      <c r="AL496" s="79"/>
      <c r="AM496" s="79"/>
      <c r="AN496" s="79"/>
      <c r="AO496" s="79"/>
      <c r="AP496" s="79"/>
      <c r="AQ496" s="79"/>
    </row>
    <row r="497" spans="28:43" x14ac:dyDescent="0.3">
      <c r="AB497" s="79"/>
      <c r="AC497" s="79"/>
      <c r="AD497" s="79"/>
      <c r="AE497" s="79"/>
      <c r="AF497" s="79"/>
      <c r="AG497" s="79"/>
      <c r="AH497" s="79"/>
      <c r="AI497" s="79"/>
      <c r="AJ497" s="125"/>
      <c r="AK497" s="79"/>
      <c r="AL497" s="79"/>
      <c r="AM497" s="79"/>
      <c r="AN497" s="79"/>
      <c r="AO497" s="79"/>
      <c r="AP497" s="79"/>
      <c r="AQ497" s="79"/>
    </row>
    <row r="498" spans="28:43" x14ac:dyDescent="0.3">
      <c r="AB498" s="79"/>
      <c r="AC498" s="79"/>
      <c r="AD498" s="79"/>
      <c r="AE498" s="79"/>
      <c r="AF498" s="79"/>
      <c r="AG498" s="79"/>
      <c r="AH498" s="79"/>
      <c r="AI498" s="79"/>
      <c r="AJ498" s="125"/>
      <c r="AK498" s="79"/>
      <c r="AL498" s="79"/>
      <c r="AM498" s="79"/>
      <c r="AN498" s="79"/>
      <c r="AO498" s="79"/>
      <c r="AP498" s="79"/>
      <c r="AQ498" s="79"/>
    </row>
    <row r="499" spans="28:43" x14ac:dyDescent="0.3">
      <c r="AB499" s="79"/>
      <c r="AC499" s="79"/>
      <c r="AD499" s="79"/>
      <c r="AE499" s="79"/>
      <c r="AF499" s="79"/>
      <c r="AG499" s="79"/>
      <c r="AH499" s="79"/>
      <c r="AI499" s="79"/>
      <c r="AJ499" s="125"/>
      <c r="AK499" s="79"/>
      <c r="AL499" s="79"/>
      <c r="AM499" s="79"/>
      <c r="AN499" s="79"/>
      <c r="AO499" s="79"/>
      <c r="AP499" s="79"/>
      <c r="AQ499" s="79"/>
    </row>
    <row r="500" spans="28:43" x14ac:dyDescent="0.3">
      <c r="AB500" s="79"/>
      <c r="AC500" s="79"/>
      <c r="AD500" s="79"/>
      <c r="AE500" s="79"/>
      <c r="AF500" s="79"/>
      <c r="AG500" s="79"/>
      <c r="AH500" s="79"/>
      <c r="AI500" s="79"/>
      <c r="AJ500" s="125"/>
      <c r="AK500" s="79"/>
      <c r="AL500" s="79"/>
      <c r="AM500" s="79"/>
      <c r="AN500" s="79"/>
      <c r="AO500" s="79"/>
      <c r="AP500" s="79"/>
      <c r="AQ500" s="79"/>
    </row>
    <row r="501" spans="28:43" x14ac:dyDescent="0.3">
      <c r="AB501" s="79"/>
      <c r="AC501" s="79"/>
      <c r="AD501" s="79"/>
      <c r="AE501" s="79"/>
      <c r="AF501" s="79"/>
      <c r="AG501" s="79"/>
      <c r="AH501" s="79"/>
      <c r="AI501" s="79"/>
      <c r="AJ501" s="125"/>
      <c r="AK501" s="79"/>
      <c r="AL501" s="79"/>
      <c r="AM501" s="79"/>
      <c r="AN501" s="79"/>
      <c r="AO501" s="79"/>
      <c r="AP501" s="79"/>
      <c r="AQ501" s="79"/>
    </row>
    <row r="502" spans="28:43" x14ac:dyDescent="0.3">
      <c r="AB502" s="79"/>
      <c r="AC502" s="79"/>
      <c r="AD502" s="79"/>
      <c r="AE502" s="79"/>
      <c r="AF502" s="79"/>
      <c r="AG502" s="79"/>
      <c r="AH502" s="79"/>
      <c r="AI502" s="79"/>
      <c r="AJ502" s="125"/>
      <c r="AK502" s="79"/>
      <c r="AL502" s="79"/>
      <c r="AM502" s="79"/>
      <c r="AN502" s="79"/>
      <c r="AO502" s="79"/>
      <c r="AP502" s="79"/>
      <c r="AQ502" s="79"/>
    </row>
    <row r="503" spans="28:43" x14ac:dyDescent="0.3">
      <c r="AB503" s="79"/>
      <c r="AC503" s="79"/>
      <c r="AD503" s="79"/>
      <c r="AE503" s="79"/>
      <c r="AF503" s="79"/>
      <c r="AG503" s="79"/>
      <c r="AH503" s="79"/>
      <c r="AI503" s="79"/>
      <c r="AJ503" s="125"/>
      <c r="AK503" s="79"/>
      <c r="AL503" s="79"/>
      <c r="AM503" s="79"/>
      <c r="AN503" s="79"/>
      <c r="AO503" s="79"/>
      <c r="AP503" s="79"/>
      <c r="AQ503" s="79"/>
    </row>
    <row r="504" spans="28:43" x14ac:dyDescent="0.3">
      <c r="AB504" s="79"/>
      <c r="AC504" s="79"/>
      <c r="AD504" s="79"/>
      <c r="AE504" s="79"/>
      <c r="AF504" s="79"/>
      <c r="AG504" s="79"/>
      <c r="AH504" s="79"/>
      <c r="AI504" s="79"/>
      <c r="AJ504" s="125"/>
      <c r="AK504" s="79"/>
      <c r="AL504" s="79"/>
      <c r="AM504" s="79"/>
      <c r="AN504" s="79"/>
      <c r="AO504" s="79"/>
      <c r="AP504" s="79"/>
      <c r="AQ504" s="79"/>
    </row>
    <row r="505" spans="28:43" x14ac:dyDescent="0.3">
      <c r="AB505" s="79"/>
      <c r="AC505" s="79"/>
      <c r="AD505" s="79"/>
      <c r="AE505" s="79"/>
      <c r="AF505" s="79"/>
      <c r="AG505" s="79"/>
      <c r="AH505" s="79"/>
      <c r="AI505" s="79"/>
      <c r="AJ505" s="125"/>
      <c r="AK505" s="79"/>
      <c r="AL505" s="79"/>
      <c r="AM505" s="79"/>
      <c r="AN505" s="79"/>
      <c r="AO505" s="79"/>
      <c r="AP505" s="79"/>
      <c r="AQ505" s="79"/>
    </row>
    <row r="506" spans="28:43" x14ac:dyDescent="0.3">
      <c r="AB506" s="79"/>
      <c r="AC506" s="79"/>
      <c r="AD506" s="79"/>
      <c r="AE506" s="79"/>
      <c r="AF506" s="79"/>
      <c r="AG506" s="79"/>
      <c r="AH506" s="79"/>
      <c r="AI506" s="79"/>
      <c r="AJ506" s="125"/>
      <c r="AK506" s="79"/>
      <c r="AL506" s="79"/>
      <c r="AM506" s="79"/>
      <c r="AN506" s="79"/>
      <c r="AO506" s="79"/>
      <c r="AP506" s="79"/>
      <c r="AQ506" s="79"/>
    </row>
    <row r="507" spans="28:43" x14ac:dyDescent="0.3">
      <c r="AB507" s="79"/>
      <c r="AC507" s="79"/>
      <c r="AD507" s="79"/>
      <c r="AE507" s="79"/>
      <c r="AF507" s="79"/>
      <c r="AG507" s="79"/>
      <c r="AH507" s="79"/>
      <c r="AI507" s="79"/>
      <c r="AJ507" s="125"/>
      <c r="AK507" s="79"/>
      <c r="AL507" s="79"/>
      <c r="AM507" s="79"/>
      <c r="AN507" s="79"/>
      <c r="AO507" s="79"/>
      <c r="AP507" s="79"/>
      <c r="AQ507" s="79"/>
    </row>
    <row r="508" spans="28:43" x14ac:dyDescent="0.3">
      <c r="AB508" s="79"/>
      <c r="AC508" s="79"/>
      <c r="AD508" s="79"/>
      <c r="AE508" s="79"/>
      <c r="AF508" s="79"/>
      <c r="AG508" s="79"/>
      <c r="AH508" s="79"/>
      <c r="AI508" s="79"/>
      <c r="AJ508" s="125"/>
      <c r="AK508" s="79"/>
      <c r="AL508" s="79"/>
      <c r="AM508" s="79"/>
      <c r="AN508" s="79"/>
      <c r="AO508" s="79"/>
      <c r="AP508" s="79"/>
      <c r="AQ508" s="79"/>
    </row>
    <row r="509" spans="28:43" x14ac:dyDescent="0.3">
      <c r="AB509" s="79"/>
      <c r="AC509" s="79"/>
      <c r="AD509" s="79"/>
      <c r="AE509" s="79"/>
      <c r="AF509" s="79"/>
      <c r="AG509" s="79"/>
      <c r="AH509" s="79"/>
      <c r="AI509" s="79"/>
      <c r="AJ509" s="125"/>
      <c r="AK509" s="79"/>
      <c r="AL509" s="79"/>
      <c r="AM509" s="79"/>
      <c r="AN509" s="79"/>
      <c r="AO509" s="79"/>
      <c r="AP509" s="79"/>
      <c r="AQ509" s="79"/>
    </row>
    <row r="510" spans="28:43" x14ac:dyDescent="0.3">
      <c r="AB510" s="79"/>
      <c r="AC510" s="79"/>
      <c r="AD510" s="79"/>
      <c r="AE510" s="79"/>
      <c r="AF510" s="79"/>
      <c r="AG510" s="79"/>
      <c r="AH510" s="79"/>
      <c r="AI510" s="79"/>
      <c r="AJ510" s="125"/>
      <c r="AK510" s="79"/>
      <c r="AL510" s="79"/>
      <c r="AM510" s="79"/>
      <c r="AN510" s="79"/>
      <c r="AO510" s="79"/>
      <c r="AP510" s="79"/>
      <c r="AQ510" s="79"/>
    </row>
    <row r="511" spans="28:43" x14ac:dyDescent="0.3">
      <c r="AB511" s="79"/>
      <c r="AC511" s="79"/>
      <c r="AD511" s="79"/>
      <c r="AE511" s="79"/>
      <c r="AF511" s="79"/>
      <c r="AG511" s="79"/>
      <c r="AH511" s="79"/>
      <c r="AI511" s="79"/>
      <c r="AJ511" s="125"/>
      <c r="AK511" s="79"/>
      <c r="AL511" s="79"/>
      <c r="AM511" s="79"/>
      <c r="AN511" s="79"/>
      <c r="AO511" s="79"/>
      <c r="AP511" s="79"/>
      <c r="AQ511" s="79"/>
    </row>
    <row r="512" spans="28:43" x14ac:dyDescent="0.3">
      <c r="AB512" s="79"/>
      <c r="AC512" s="79"/>
      <c r="AD512" s="79"/>
      <c r="AE512" s="79"/>
      <c r="AF512" s="79"/>
      <c r="AG512" s="79"/>
      <c r="AH512" s="79"/>
      <c r="AI512" s="79"/>
      <c r="AJ512" s="125"/>
      <c r="AK512" s="79"/>
      <c r="AL512" s="79"/>
      <c r="AM512" s="79"/>
      <c r="AN512" s="79"/>
      <c r="AO512" s="79"/>
      <c r="AP512" s="79"/>
      <c r="AQ512" s="79"/>
    </row>
    <row r="513" spans="28:43" x14ac:dyDescent="0.3">
      <c r="AB513" s="79"/>
      <c r="AC513" s="79"/>
      <c r="AD513" s="79"/>
      <c r="AE513" s="79"/>
      <c r="AF513" s="79"/>
      <c r="AG513" s="79"/>
      <c r="AH513" s="79"/>
      <c r="AI513" s="79"/>
      <c r="AJ513" s="125"/>
      <c r="AK513" s="79"/>
      <c r="AL513" s="79"/>
      <c r="AM513" s="79"/>
      <c r="AN513" s="79"/>
      <c r="AO513" s="79"/>
      <c r="AP513" s="79"/>
      <c r="AQ513" s="79"/>
    </row>
    <row r="514" spans="28:43" x14ac:dyDescent="0.3">
      <c r="AB514" s="79"/>
      <c r="AC514" s="79"/>
      <c r="AD514" s="79"/>
      <c r="AE514" s="79"/>
      <c r="AF514" s="79"/>
      <c r="AG514" s="79"/>
      <c r="AH514" s="79"/>
      <c r="AI514" s="79"/>
      <c r="AJ514" s="125"/>
      <c r="AK514" s="79"/>
      <c r="AL514" s="79"/>
      <c r="AM514" s="79"/>
      <c r="AN514" s="79"/>
      <c r="AO514" s="79"/>
      <c r="AP514" s="79"/>
      <c r="AQ514" s="79"/>
    </row>
    <row r="515" spans="28:43" x14ac:dyDescent="0.3">
      <c r="AB515" s="79"/>
      <c r="AC515" s="79"/>
      <c r="AD515" s="79"/>
      <c r="AE515" s="79"/>
      <c r="AF515" s="79"/>
      <c r="AG515" s="79"/>
      <c r="AH515" s="79"/>
      <c r="AI515" s="79"/>
      <c r="AJ515" s="125"/>
      <c r="AK515" s="79"/>
      <c r="AL515" s="79"/>
      <c r="AM515" s="79"/>
      <c r="AN515" s="79"/>
      <c r="AO515" s="79"/>
      <c r="AP515" s="79"/>
      <c r="AQ515" s="79"/>
    </row>
    <row r="516" spans="28:43" x14ac:dyDescent="0.3">
      <c r="AB516" s="79"/>
      <c r="AC516" s="79"/>
      <c r="AD516" s="79"/>
      <c r="AE516" s="79"/>
      <c r="AF516" s="79"/>
      <c r="AG516" s="79"/>
      <c r="AH516" s="79"/>
      <c r="AI516" s="79"/>
      <c r="AJ516" s="125"/>
      <c r="AK516" s="79"/>
      <c r="AL516" s="79"/>
      <c r="AM516" s="79"/>
      <c r="AN516" s="79"/>
      <c r="AO516" s="79"/>
      <c r="AP516" s="79"/>
      <c r="AQ516" s="79"/>
    </row>
    <row r="517" spans="28:43" x14ac:dyDescent="0.3">
      <c r="AB517" s="79"/>
      <c r="AC517" s="79"/>
      <c r="AD517" s="79"/>
      <c r="AE517" s="79"/>
      <c r="AF517" s="79"/>
      <c r="AG517" s="79"/>
      <c r="AH517" s="79"/>
      <c r="AI517" s="79"/>
      <c r="AJ517" s="125"/>
      <c r="AK517" s="79"/>
      <c r="AL517" s="79"/>
      <c r="AM517" s="79"/>
      <c r="AN517" s="79"/>
      <c r="AO517" s="79"/>
      <c r="AP517" s="79"/>
      <c r="AQ517" s="79"/>
    </row>
    <row r="518" spans="28:43" x14ac:dyDescent="0.3">
      <c r="AB518" s="79"/>
      <c r="AC518" s="79"/>
      <c r="AD518" s="79"/>
      <c r="AE518" s="79"/>
      <c r="AF518" s="79"/>
      <c r="AG518" s="79"/>
      <c r="AH518" s="79"/>
      <c r="AI518" s="79"/>
      <c r="AJ518" s="125"/>
      <c r="AK518" s="79"/>
      <c r="AL518" s="79"/>
      <c r="AM518" s="79"/>
      <c r="AN518" s="79"/>
      <c r="AO518" s="79"/>
      <c r="AP518" s="79"/>
      <c r="AQ518" s="79"/>
    </row>
    <row r="519" spans="28:43" x14ac:dyDescent="0.3">
      <c r="AB519" s="79"/>
      <c r="AC519" s="79"/>
      <c r="AD519" s="79"/>
      <c r="AE519" s="79"/>
      <c r="AF519" s="79"/>
      <c r="AG519" s="79"/>
      <c r="AH519" s="79"/>
      <c r="AI519" s="79"/>
      <c r="AJ519" s="125"/>
      <c r="AK519" s="79"/>
      <c r="AL519" s="79"/>
      <c r="AM519" s="79"/>
      <c r="AN519" s="79"/>
      <c r="AO519" s="79"/>
      <c r="AP519" s="79"/>
      <c r="AQ519" s="79"/>
    </row>
    <row r="520" spans="28:43" x14ac:dyDescent="0.3">
      <c r="AB520" s="79"/>
      <c r="AC520" s="79"/>
      <c r="AJ520" s="125"/>
      <c r="AK520" s="79"/>
      <c r="AL520" s="79"/>
      <c r="AM520" s="79"/>
      <c r="AN520" s="79"/>
      <c r="AO520" s="79"/>
      <c r="AP520" s="79"/>
      <c r="AQ520" s="79"/>
    </row>
    <row r="521" spans="28:43" x14ac:dyDescent="0.3">
      <c r="AB521" s="79"/>
      <c r="AC521" s="79"/>
      <c r="AJ521" s="125"/>
      <c r="AK521" s="79"/>
      <c r="AL521" s="79"/>
      <c r="AM521" s="79"/>
      <c r="AN521" s="79"/>
      <c r="AO521" s="79"/>
      <c r="AP521" s="79"/>
      <c r="AQ521" s="79"/>
    </row>
    <row r="522" spans="28:43" x14ac:dyDescent="0.3">
      <c r="AB522" s="79"/>
      <c r="AC522" s="79"/>
      <c r="AJ522" s="125"/>
      <c r="AK522" s="79"/>
      <c r="AL522" s="79"/>
      <c r="AM522" s="79"/>
      <c r="AN522" s="79"/>
      <c r="AO522" s="79"/>
      <c r="AP522" s="79"/>
      <c r="AQ522" s="79"/>
    </row>
    <row r="523" spans="28:43" x14ac:dyDescent="0.3">
      <c r="AB523" s="79"/>
      <c r="AC523" s="79"/>
      <c r="AJ523" s="125"/>
      <c r="AK523" s="79"/>
      <c r="AL523" s="79"/>
      <c r="AM523" s="79"/>
      <c r="AN523" s="79"/>
      <c r="AO523" s="79"/>
      <c r="AP523" s="79"/>
      <c r="AQ523" s="79"/>
    </row>
    <row r="524" spans="28:43" x14ac:dyDescent="0.3">
      <c r="AB524" s="79"/>
      <c r="AC524" s="79"/>
      <c r="AJ524" s="125"/>
      <c r="AK524" s="79"/>
      <c r="AL524" s="79"/>
      <c r="AM524" s="79"/>
      <c r="AN524" s="79"/>
      <c r="AO524" s="79"/>
      <c r="AP524" s="79"/>
      <c r="AQ524" s="79"/>
    </row>
    <row r="525" spans="28:43" x14ac:dyDescent="0.3">
      <c r="AB525" s="79"/>
      <c r="AC525" s="79"/>
      <c r="AJ525" s="125"/>
      <c r="AK525" s="79"/>
      <c r="AL525" s="79"/>
      <c r="AM525" s="79"/>
      <c r="AN525" s="79"/>
      <c r="AO525" s="79"/>
      <c r="AP525" s="79"/>
      <c r="AQ525" s="79"/>
    </row>
    <row r="526" spans="28:43" x14ac:dyDescent="0.3">
      <c r="AB526" s="79"/>
      <c r="AC526" s="79"/>
      <c r="AJ526" s="125"/>
      <c r="AK526" s="79"/>
      <c r="AL526" s="79"/>
      <c r="AM526" s="79"/>
      <c r="AN526" s="79"/>
      <c r="AO526" s="79"/>
      <c r="AP526" s="79"/>
      <c r="AQ526" s="79"/>
    </row>
    <row r="527" spans="28:43" x14ac:dyDescent="0.3">
      <c r="AB527" s="79"/>
      <c r="AC527" s="79"/>
      <c r="AJ527" s="125"/>
      <c r="AK527" s="79"/>
      <c r="AL527" s="79"/>
      <c r="AM527" s="79"/>
      <c r="AN527" s="79"/>
      <c r="AO527" s="79"/>
      <c r="AP527" s="79"/>
      <c r="AQ527" s="79"/>
    </row>
    <row r="528" spans="28:43" x14ac:dyDescent="0.3">
      <c r="AB528" s="79"/>
      <c r="AC528" s="79"/>
      <c r="AJ528" s="125"/>
      <c r="AK528" s="79"/>
      <c r="AL528" s="79"/>
      <c r="AM528" s="79"/>
      <c r="AN528" s="79"/>
      <c r="AO528" s="79"/>
      <c r="AP528" s="79"/>
      <c r="AQ528" s="79"/>
    </row>
    <row r="529" spans="28:43" x14ac:dyDescent="0.3">
      <c r="AB529" s="79"/>
      <c r="AC529" s="79"/>
      <c r="AJ529" s="125"/>
      <c r="AK529" s="79"/>
      <c r="AL529" s="79"/>
      <c r="AM529" s="79"/>
      <c r="AN529" s="79"/>
      <c r="AO529" s="79"/>
      <c r="AP529" s="79"/>
      <c r="AQ529" s="79"/>
    </row>
    <row r="530" spans="28:43" x14ac:dyDescent="0.3">
      <c r="AB530" s="79"/>
      <c r="AC530" s="79"/>
      <c r="AJ530" s="125"/>
      <c r="AK530" s="79"/>
      <c r="AL530" s="79"/>
      <c r="AM530" s="79"/>
      <c r="AN530" s="79"/>
      <c r="AO530" s="79"/>
      <c r="AP530" s="79"/>
      <c r="AQ530" s="79"/>
    </row>
    <row r="531" spans="28:43" x14ac:dyDescent="0.3">
      <c r="AB531" s="79"/>
      <c r="AC531" s="79"/>
      <c r="AJ531" s="125"/>
      <c r="AK531" s="79"/>
      <c r="AL531" s="79"/>
      <c r="AM531" s="79"/>
      <c r="AN531" s="79"/>
      <c r="AO531" s="79"/>
      <c r="AP531" s="79"/>
      <c r="AQ531" s="79"/>
    </row>
    <row r="532" spans="28:43" x14ac:dyDescent="0.3">
      <c r="AB532" s="79"/>
      <c r="AC532" s="79"/>
      <c r="AJ532" s="125"/>
      <c r="AK532" s="79"/>
      <c r="AL532" s="79"/>
      <c r="AM532" s="79"/>
      <c r="AN532" s="79"/>
      <c r="AO532" s="79"/>
      <c r="AP532" s="79"/>
      <c r="AQ532" s="79"/>
    </row>
    <row r="533" spans="28:43" x14ac:dyDescent="0.3">
      <c r="AB533" s="79"/>
      <c r="AC533" s="79"/>
      <c r="AJ533" s="125"/>
      <c r="AK533" s="79"/>
      <c r="AL533" s="79"/>
      <c r="AM533" s="79"/>
      <c r="AN533" s="79"/>
      <c r="AO533" s="79"/>
      <c r="AP533" s="79"/>
      <c r="AQ533" s="79"/>
    </row>
    <row r="534" spans="28:43" x14ac:dyDescent="0.3">
      <c r="AB534" s="79"/>
      <c r="AC534" s="79"/>
      <c r="AJ534" s="125"/>
      <c r="AK534" s="79"/>
      <c r="AL534" s="79"/>
      <c r="AM534" s="79"/>
      <c r="AN534" s="79"/>
      <c r="AO534" s="79"/>
      <c r="AP534" s="79"/>
      <c r="AQ534" s="79"/>
    </row>
    <row r="535" spans="28:43" x14ac:dyDescent="0.3">
      <c r="AB535" s="79"/>
      <c r="AC535" s="79"/>
      <c r="AJ535" s="125"/>
      <c r="AK535" s="79"/>
      <c r="AL535" s="79"/>
      <c r="AM535" s="79"/>
      <c r="AN535" s="79"/>
      <c r="AO535" s="79"/>
      <c r="AP535" s="79"/>
      <c r="AQ535" s="79"/>
    </row>
    <row r="536" spans="28:43" x14ac:dyDescent="0.3">
      <c r="AB536" s="79"/>
      <c r="AC536" s="79"/>
      <c r="AJ536" s="125"/>
      <c r="AK536" s="79"/>
      <c r="AL536" s="79"/>
      <c r="AM536" s="79"/>
      <c r="AN536" s="79"/>
      <c r="AO536" s="79"/>
      <c r="AP536" s="79"/>
      <c r="AQ536" s="79"/>
    </row>
    <row r="537" spans="28:43" x14ac:dyDescent="0.3">
      <c r="AB537" s="79"/>
      <c r="AC537" s="79"/>
      <c r="AJ537" s="125"/>
      <c r="AK537" s="79"/>
      <c r="AL537" s="79"/>
      <c r="AM537" s="79"/>
      <c r="AN537" s="79"/>
      <c r="AO537" s="79"/>
      <c r="AP537" s="79"/>
      <c r="AQ537" s="79"/>
    </row>
    <row r="538" spans="28:43" x14ac:dyDescent="0.3">
      <c r="AB538" s="79"/>
      <c r="AC538" s="79"/>
      <c r="AJ538" s="125"/>
      <c r="AK538" s="79"/>
      <c r="AL538" s="79"/>
      <c r="AM538" s="79"/>
      <c r="AN538" s="79"/>
      <c r="AO538" s="79"/>
      <c r="AP538" s="79"/>
      <c r="AQ538" s="79"/>
    </row>
    <row r="539" spans="28:43" x14ac:dyDescent="0.3">
      <c r="AB539" s="79"/>
      <c r="AC539" s="79"/>
      <c r="AJ539" s="125"/>
      <c r="AK539" s="79"/>
      <c r="AL539" s="79"/>
      <c r="AM539" s="79"/>
      <c r="AN539" s="79"/>
      <c r="AO539" s="79"/>
      <c r="AP539" s="79"/>
      <c r="AQ539" s="79"/>
    </row>
    <row r="540" spans="28:43" x14ac:dyDescent="0.3">
      <c r="AB540" s="79"/>
      <c r="AC540" s="79"/>
      <c r="AJ540" s="125"/>
      <c r="AK540" s="79"/>
      <c r="AL540" s="79"/>
      <c r="AM540" s="79"/>
      <c r="AN540" s="79"/>
      <c r="AO540" s="79"/>
      <c r="AP540" s="79"/>
      <c r="AQ540" s="79"/>
    </row>
    <row r="541" spans="28:43" x14ac:dyDescent="0.3">
      <c r="AB541" s="79"/>
      <c r="AC541" s="79"/>
      <c r="AJ541" s="125"/>
      <c r="AK541" s="79"/>
      <c r="AL541" s="79"/>
      <c r="AM541" s="79"/>
      <c r="AN541" s="79"/>
      <c r="AO541" s="79"/>
      <c r="AP541" s="79"/>
      <c r="AQ541" s="79"/>
    </row>
    <row r="542" spans="28:43" x14ac:dyDescent="0.3">
      <c r="AB542" s="79"/>
      <c r="AC542" s="79"/>
      <c r="AJ542" s="125"/>
      <c r="AK542" s="79"/>
      <c r="AL542" s="79"/>
      <c r="AM542" s="79"/>
      <c r="AN542" s="79"/>
      <c r="AO542" s="79"/>
      <c r="AP542" s="79"/>
      <c r="AQ542" s="79"/>
    </row>
    <row r="543" spans="28:43" x14ac:dyDescent="0.3">
      <c r="AB543" s="79"/>
      <c r="AC543" s="79"/>
      <c r="AJ543" s="125"/>
      <c r="AK543" s="79"/>
      <c r="AL543" s="79"/>
      <c r="AM543" s="79"/>
      <c r="AN543" s="79"/>
      <c r="AO543" s="79"/>
      <c r="AP543" s="79"/>
      <c r="AQ543" s="79"/>
    </row>
    <row r="544" spans="28:43" x14ac:dyDescent="0.3">
      <c r="AB544" s="79"/>
      <c r="AC544" s="79"/>
      <c r="AJ544" s="125"/>
      <c r="AK544" s="79"/>
      <c r="AL544" s="79"/>
      <c r="AM544" s="79"/>
      <c r="AN544" s="79"/>
      <c r="AO544" s="79"/>
      <c r="AP544" s="79"/>
      <c r="AQ544" s="79"/>
    </row>
    <row r="545" spans="28:43" x14ac:dyDescent="0.3">
      <c r="AB545" s="79"/>
      <c r="AC545" s="79"/>
      <c r="AJ545" s="125"/>
      <c r="AK545" s="79"/>
      <c r="AL545" s="79"/>
      <c r="AM545" s="79"/>
      <c r="AN545" s="79"/>
      <c r="AO545" s="79"/>
      <c r="AP545" s="79"/>
      <c r="AQ545" s="79"/>
    </row>
    <row r="546" spans="28:43" x14ac:dyDescent="0.3">
      <c r="AB546" s="79"/>
      <c r="AC546" s="79"/>
      <c r="AJ546" s="125"/>
      <c r="AK546" s="79"/>
      <c r="AL546" s="79"/>
      <c r="AM546" s="79"/>
      <c r="AN546" s="79"/>
      <c r="AO546" s="79"/>
      <c r="AP546" s="79"/>
      <c r="AQ546" s="79"/>
    </row>
    <row r="547" spans="28:43" x14ac:dyDescent="0.3">
      <c r="AB547" s="79"/>
      <c r="AC547" s="79"/>
      <c r="AJ547" s="125"/>
      <c r="AK547" s="79"/>
      <c r="AL547" s="79"/>
      <c r="AM547" s="79"/>
      <c r="AN547" s="79"/>
      <c r="AO547" s="79"/>
      <c r="AP547" s="79"/>
      <c r="AQ547" s="79"/>
    </row>
    <row r="548" spans="28:43" x14ac:dyDescent="0.3">
      <c r="AB548" s="79"/>
      <c r="AC548" s="79"/>
      <c r="AJ548" s="125"/>
      <c r="AL548" s="79"/>
      <c r="AM548" s="79"/>
      <c r="AN548" s="79"/>
      <c r="AO548" s="79"/>
      <c r="AP548" s="79"/>
      <c r="AQ548" s="79"/>
    </row>
    <row r="549" spans="28:43" x14ac:dyDescent="0.3">
      <c r="AB549" s="79"/>
      <c r="AC549" s="79"/>
      <c r="AJ549" s="125"/>
      <c r="AL549" s="79"/>
      <c r="AM549" s="79"/>
      <c r="AN549" s="79"/>
      <c r="AO549" s="79"/>
      <c r="AP549" s="79"/>
      <c r="AQ549" s="79"/>
    </row>
    <row r="550" spans="28:43" x14ac:dyDescent="0.3">
      <c r="AB550" s="79"/>
      <c r="AC550" s="79"/>
      <c r="AJ550" s="125"/>
      <c r="AL550" s="79"/>
      <c r="AM550" s="79"/>
      <c r="AN550" s="79"/>
      <c r="AO550" s="79"/>
      <c r="AP550" s="79"/>
      <c r="AQ550" s="79"/>
    </row>
    <row r="551" spans="28:43" x14ac:dyDescent="0.3">
      <c r="AB551" s="79"/>
      <c r="AC551" s="79"/>
      <c r="AJ551" s="125"/>
      <c r="AM551" s="79"/>
      <c r="AN551" s="79"/>
      <c r="AO551" s="79"/>
      <c r="AP551" s="79"/>
      <c r="AQ551" s="79"/>
    </row>
    <row r="552" spans="28:43" x14ac:dyDescent="0.3">
      <c r="AB552" s="79"/>
      <c r="AC552" s="79"/>
      <c r="AJ552" s="125"/>
      <c r="AM552" s="79"/>
      <c r="AN552" s="79"/>
      <c r="AO552" s="79"/>
      <c r="AP552" s="79"/>
      <c r="AQ552" s="79"/>
    </row>
    <row r="553" spans="28:43" x14ac:dyDescent="0.3">
      <c r="AC553" s="79"/>
      <c r="AJ553" s="125"/>
      <c r="AM553" s="79"/>
      <c r="AN553" s="79"/>
      <c r="AO553" s="79"/>
      <c r="AP553" s="79"/>
      <c r="AQ553" s="79"/>
    </row>
    <row r="554" spans="28:43" x14ac:dyDescent="0.3">
      <c r="AC554" s="79"/>
      <c r="AJ554" s="125"/>
      <c r="AM554" s="79"/>
      <c r="AN554" s="79"/>
      <c r="AO554" s="79"/>
      <c r="AP554" s="79"/>
      <c r="AQ554" s="79"/>
    </row>
    <row r="555" spans="28:43" x14ac:dyDescent="0.3">
      <c r="AC555" s="79"/>
      <c r="AM555" s="79"/>
      <c r="AN555" s="79"/>
      <c r="AO555" s="79"/>
      <c r="AP555" s="79"/>
      <c r="AQ555" s="79"/>
    </row>
  </sheetData>
  <sheetProtection algorithmName="SHA-512" hashValue="a4fZwamfntwR3feOzXn2XSFEbEObvgxDgTX65nAenjYGGrHZTzcuvfiwtx7SPOwAIgYLQKjG7ATxTACN/+wTpw==" saltValue="KOESOT6kt6rmRV5IkYn6pw==" spinCount="100000" sheet="1" objects="1" scenarios="1"/>
  <protectedRanges>
    <protectedRange sqref="C5:E11" name="Range1"/>
  </protectedRanges>
  <mergeCells count="36">
    <mergeCell ref="AH3:AJ3"/>
    <mergeCell ref="C6:E6"/>
    <mergeCell ref="C5:E5"/>
    <mergeCell ref="B2:F2"/>
    <mergeCell ref="H2:N2"/>
    <mergeCell ref="Q2:W2"/>
    <mergeCell ref="Y2:AA2"/>
    <mergeCell ref="AD2:AH2"/>
    <mergeCell ref="B60:E60"/>
    <mergeCell ref="AD80:AF80"/>
    <mergeCell ref="B30:E33"/>
    <mergeCell ref="C7:E7"/>
    <mergeCell ref="C9:E9"/>
    <mergeCell ref="C8:E8"/>
    <mergeCell ref="I10:N10"/>
    <mergeCell ref="Q38:W38"/>
    <mergeCell ref="D37:E40"/>
    <mergeCell ref="B35:E36"/>
    <mergeCell ref="B47:E47"/>
    <mergeCell ref="C11:E11"/>
    <mergeCell ref="C12:E12"/>
    <mergeCell ref="C10:E10"/>
    <mergeCell ref="B10:B11"/>
    <mergeCell ref="AL4:AL15"/>
    <mergeCell ref="AL17:AL24"/>
    <mergeCell ref="AL26:AL38"/>
    <mergeCell ref="AL40:AL77"/>
    <mergeCell ref="AK62:AK64"/>
    <mergeCell ref="AK66:AK67"/>
    <mergeCell ref="AK69:AK71"/>
    <mergeCell ref="AK75:AK77"/>
    <mergeCell ref="AK40:AK41"/>
    <mergeCell ref="AK45:AK46"/>
    <mergeCell ref="AK50:AK51"/>
    <mergeCell ref="AK53:AK54"/>
    <mergeCell ref="AK56:AK57"/>
  </mergeCells>
  <conditionalFormatting sqref="I20:P20 R20:AA20">
    <cfRule type="expression" dxfId="40" priority="45">
      <formula>$AA$20=""</formula>
    </cfRule>
  </conditionalFormatting>
  <conditionalFormatting sqref="I22:AA22">
    <cfRule type="expression" dxfId="39" priority="44">
      <formula>$AA$22=""</formula>
    </cfRule>
  </conditionalFormatting>
  <conditionalFormatting sqref="I35:P35 X35:AA35">
    <cfRule type="expression" dxfId="38" priority="43">
      <formula>$AA$35=""</formula>
    </cfRule>
  </conditionalFormatting>
  <conditionalFormatting sqref="Q11:W11">
    <cfRule type="expression" dxfId="37" priority="42">
      <formula>$Q$11=""</formula>
    </cfRule>
  </conditionalFormatting>
  <conditionalFormatting sqref="Q18:W18">
    <cfRule type="expression" dxfId="36" priority="41">
      <formula>$Q$18=""</formula>
    </cfRule>
  </conditionalFormatting>
  <conditionalFormatting sqref="Q44:W44">
    <cfRule type="expression" dxfId="35" priority="7">
      <formula>AND($S$44="",$S$43&lt;&gt;"")</formula>
    </cfRule>
    <cfRule type="expression" dxfId="34" priority="33">
      <formula>AND($S$44="",$S$45&lt;&gt;"")</formula>
    </cfRule>
    <cfRule type="expression" dxfId="33" priority="40">
      <formula>$S$44=""</formula>
    </cfRule>
  </conditionalFormatting>
  <conditionalFormatting sqref="Q52:W52">
    <cfRule type="expression" dxfId="32" priority="39">
      <formula>$S$52=""</formula>
    </cfRule>
  </conditionalFormatting>
  <conditionalFormatting sqref="Q46:W46">
    <cfRule type="expression" dxfId="31" priority="38">
      <formula>$S$46=""</formula>
    </cfRule>
  </conditionalFormatting>
  <conditionalFormatting sqref="Q43:W43">
    <cfRule type="expression" dxfId="30" priority="36">
      <formula>$S$43=""</formula>
    </cfRule>
  </conditionalFormatting>
  <conditionalFormatting sqref="Q58:W58">
    <cfRule type="expression" dxfId="29" priority="35">
      <formula>$S$58=""</formula>
    </cfRule>
  </conditionalFormatting>
  <conditionalFormatting sqref="Y35:AA35">
    <cfRule type="expression" dxfId="28" priority="29">
      <formula>$AA$35=""</formula>
    </cfRule>
  </conditionalFormatting>
  <conditionalFormatting sqref="I37:M37">
    <cfRule type="expression" dxfId="27" priority="26">
      <formula>$K$37=""</formula>
    </cfRule>
  </conditionalFormatting>
  <conditionalFormatting sqref="I39:M39 J40:K40">
    <cfRule type="expression" dxfId="26" priority="25">
      <formula>$K$39=""</formula>
    </cfRule>
  </conditionalFormatting>
  <conditionalFormatting sqref="Q54:W54">
    <cfRule type="expression" dxfId="25" priority="24">
      <formula>$S$54=""</formula>
    </cfRule>
  </conditionalFormatting>
  <conditionalFormatting sqref="Q33:W33">
    <cfRule type="expression" dxfId="24" priority="19">
      <formula>AND($S32="",$S33&lt;&gt;"")</formula>
    </cfRule>
    <cfRule type="expression" dxfId="23" priority="20">
      <formula>AND($S33&lt;&gt;"",$S34="")</formula>
    </cfRule>
    <cfRule type="expression" dxfId="22" priority="22">
      <formula>$S33=""</formula>
    </cfRule>
  </conditionalFormatting>
  <conditionalFormatting sqref="Q34:W34">
    <cfRule type="expression" dxfId="21" priority="16">
      <formula>AND($S33="",$S34&lt;&gt;"")</formula>
    </cfRule>
    <cfRule type="expression" dxfId="20" priority="17">
      <formula>AND($S34&lt;&gt;"",$AA35="")</formula>
    </cfRule>
    <cfRule type="expression" dxfId="19" priority="18">
      <formula>$S34=""</formula>
    </cfRule>
  </conditionalFormatting>
  <conditionalFormatting sqref="Q32:W32">
    <cfRule type="expression" dxfId="18" priority="13">
      <formula>AND($S31="",$S32&lt;&gt;"")</formula>
    </cfRule>
    <cfRule type="expression" dxfId="17" priority="14">
      <formula>AND($S32&lt;&gt;"",$S33="")</formula>
    </cfRule>
    <cfRule type="expression" dxfId="16" priority="15">
      <formula>$S32=""</formula>
    </cfRule>
  </conditionalFormatting>
  <conditionalFormatting sqref="Q35:W35">
    <cfRule type="expression" dxfId="15" priority="10">
      <formula>AND($S34="",$AA35&lt;&gt;"")</formula>
    </cfRule>
    <cfRule type="expression" dxfId="14" priority="12">
      <formula>$AA$35=""</formula>
    </cfRule>
  </conditionalFormatting>
  <conditionalFormatting sqref="I14:AA14">
    <cfRule type="expression" dxfId="13" priority="8">
      <formula>$AA$14=""</formula>
    </cfRule>
  </conditionalFormatting>
  <conditionalFormatting sqref="N37">
    <cfRule type="expression" dxfId="12" priority="5">
      <formula>OR($AA37="N/A",$AA37="NA")</formula>
    </cfRule>
  </conditionalFormatting>
  <conditionalFormatting sqref="N39">
    <cfRule type="expression" dxfId="11" priority="4">
      <formula>OR($AA39="N/A",$AA39="NA")</formula>
    </cfRule>
  </conditionalFormatting>
  <conditionalFormatting sqref="Z37:AA37">
    <cfRule type="expression" dxfId="10" priority="3">
      <formula>OR($AA37="N/A",$AA37="NA")</formula>
    </cfRule>
  </conditionalFormatting>
  <conditionalFormatting sqref="Z39:AA39">
    <cfRule type="expression" dxfId="9" priority="2">
      <formula>OR($AA39="N/A",$AA39="NA")</formula>
    </cfRule>
  </conditionalFormatting>
  <conditionalFormatting sqref="Q27:W27">
    <cfRule type="expression" dxfId="8" priority="1">
      <formula>$Q$27=""</formula>
    </cfRule>
  </conditionalFormatting>
  <dataValidations count="4">
    <dataValidation type="list" allowBlank="1" showInputMessage="1" showErrorMessage="1" sqref="C6:E6" xr:uid="{00000000-0002-0000-0100-000000000000}">
      <formula1>"Performance, Baseline"</formula1>
    </dataValidation>
    <dataValidation type="list" allowBlank="1" showInputMessage="1" showErrorMessage="1" sqref="C9" xr:uid="{00000000-0002-0000-0100-000001000000}">
      <formula1>"Premium,Volume"</formula1>
    </dataValidation>
    <dataValidation type="list" allowBlank="1" showInputMessage="1" showErrorMessage="1" sqref="C7:E7" xr:uid="{00000000-0002-0000-0100-000002000000}">
      <formula1>"Deep Sleep Enabled, Non-Deep Sleep"</formula1>
    </dataValidation>
    <dataValidation type="list" allowBlank="1" showInputMessage="1" showErrorMessage="1" sqref="K40" xr:uid="{00000000-0002-0000-0100-000003000000}">
      <formula1>"True, False"</formula1>
    </dataValidation>
  </dataValidations>
  <pageMargins left="0.7" right="0.7" top="0.75" bottom="0.75" header="0.3" footer="0.3"/>
  <pageSetup orientation="portrait" r:id="rId1"/>
  <cellWatches>
    <cellWatch r="R30"/>
  </cellWatches>
  <ignoredErrors>
    <ignoredError sqref="R18" evalError="1"/>
  </ignoredErrors>
  <drawing r:id="rId2"/>
  <legacyDrawing r:id="rId3"/>
  <oleObjects>
    <mc:AlternateContent xmlns:mc="http://schemas.openxmlformats.org/markup-compatibility/2006">
      <mc:Choice Requires="x14">
        <oleObject progId="Visio.Drawing.15" shapeId="1043" r:id="rId4">
          <objectPr defaultSize="0" autoPict="0" r:id="rId5">
            <anchor moveWithCells="1">
              <from>
                <xdr:col>14</xdr:col>
                <xdr:colOff>563880</xdr:colOff>
                <xdr:row>34</xdr:row>
                <xdr:rowOff>0</xdr:rowOff>
              </from>
              <to>
                <xdr:col>15</xdr:col>
                <xdr:colOff>106680</xdr:colOff>
                <xdr:row>34</xdr:row>
                <xdr:rowOff>167640</xdr:rowOff>
              </to>
            </anchor>
          </objectPr>
        </oleObject>
      </mc:Choice>
      <mc:Fallback>
        <oleObject progId="Visio.Drawing.15" shapeId="1043" r:id="rId4"/>
      </mc:Fallback>
    </mc:AlternateContent>
    <mc:AlternateContent xmlns:mc="http://schemas.openxmlformats.org/markup-compatibility/2006">
      <mc:Choice Requires="x14">
        <oleObject progId="Visio.Drawing.15" shapeId="1059" r:id="rId6">
          <objectPr defaultSize="0" autoPict="0" r:id="rId5">
            <anchor moveWithCells="1">
              <from>
                <xdr:col>15</xdr:col>
                <xdr:colOff>0</xdr:colOff>
                <xdr:row>57</xdr:row>
                <xdr:rowOff>0</xdr:rowOff>
              </from>
              <to>
                <xdr:col>15</xdr:col>
                <xdr:colOff>160020</xdr:colOff>
                <xdr:row>57</xdr:row>
                <xdr:rowOff>152400</xdr:rowOff>
              </to>
            </anchor>
          </objectPr>
        </oleObject>
      </mc:Choice>
      <mc:Fallback>
        <oleObject progId="Visio.Drawing.15" shapeId="1059" r:id="rId6"/>
      </mc:Fallback>
    </mc:AlternateContent>
    <mc:AlternateContent xmlns:mc="http://schemas.openxmlformats.org/markup-compatibility/2006">
      <mc:Choice Requires="x14">
        <oleObject progId="Visio.Drawing.15" shapeId="1090" r:id="rId7">
          <objectPr defaultSize="0" autoPict="0" r:id="rId5">
            <anchor moveWithCells="1">
              <from>
                <xdr:col>15</xdr:col>
                <xdr:colOff>0</xdr:colOff>
                <xdr:row>45</xdr:row>
                <xdr:rowOff>0</xdr:rowOff>
              </from>
              <to>
                <xdr:col>15</xdr:col>
                <xdr:colOff>160020</xdr:colOff>
                <xdr:row>45</xdr:row>
                <xdr:rowOff>152400</xdr:rowOff>
              </to>
            </anchor>
          </objectPr>
        </oleObject>
      </mc:Choice>
      <mc:Fallback>
        <oleObject progId="Visio.Drawing.15" shapeId="1090" r:id="rId7"/>
      </mc:Fallback>
    </mc:AlternateContent>
    <mc:AlternateContent xmlns:mc="http://schemas.openxmlformats.org/markup-compatibility/2006">
      <mc:Choice Requires="x14">
        <oleObject progId="Visio.Drawing.15" shapeId="1091" r:id="rId8">
          <objectPr defaultSize="0" autoPict="0" r:id="rId5">
            <anchor moveWithCells="1">
              <from>
                <xdr:col>15</xdr:col>
                <xdr:colOff>0</xdr:colOff>
                <xdr:row>45</xdr:row>
                <xdr:rowOff>0</xdr:rowOff>
              </from>
              <to>
                <xdr:col>15</xdr:col>
                <xdr:colOff>160020</xdr:colOff>
                <xdr:row>45</xdr:row>
                <xdr:rowOff>152400</xdr:rowOff>
              </to>
            </anchor>
          </objectPr>
        </oleObject>
      </mc:Choice>
      <mc:Fallback>
        <oleObject progId="Visio.Drawing.15" shapeId="1091" r:id="rId8"/>
      </mc:Fallback>
    </mc:AlternateContent>
    <mc:AlternateContent xmlns:mc="http://schemas.openxmlformats.org/markup-compatibility/2006">
      <mc:Choice Requires="x14">
        <oleObject progId="Visio.Drawing.15" shapeId="1095" r:id="rId9">
          <objectPr defaultSize="0" autoPict="0" r:id="rId5">
            <anchor moveWithCells="1">
              <from>
                <xdr:col>15</xdr:col>
                <xdr:colOff>22860</xdr:colOff>
                <xdr:row>52</xdr:row>
                <xdr:rowOff>175260</xdr:rowOff>
              </from>
              <to>
                <xdr:col>15</xdr:col>
                <xdr:colOff>175260</xdr:colOff>
                <xdr:row>53</xdr:row>
                <xdr:rowOff>152400</xdr:rowOff>
              </to>
            </anchor>
          </objectPr>
        </oleObject>
      </mc:Choice>
      <mc:Fallback>
        <oleObject progId="Visio.Drawing.15" shapeId="1095" r:id="rId9"/>
      </mc:Fallback>
    </mc:AlternateContent>
    <mc:AlternateContent xmlns:mc="http://schemas.openxmlformats.org/markup-compatibility/2006">
      <mc:Choice Requires="x14">
        <oleObject progId="Visio.Drawing.15" shapeId="1120" r:id="rId10">
          <objectPr defaultSize="0" autoPict="0" r:id="rId5">
            <anchor moveWithCells="1">
              <from>
                <xdr:col>15</xdr:col>
                <xdr:colOff>7620</xdr:colOff>
                <xdr:row>61</xdr:row>
                <xdr:rowOff>0</xdr:rowOff>
              </from>
              <to>
                <xdr:col>15</xdr:col>
                <xdr:colOff>160020</xdr:colOff>
                <xdr:row>61</xdr:row>
                <xdr:rowOff>152400</xdr:rowOff>
              </to>
            </anchor>
          </objectPr>
        </oleObject>
      </mc:Choice>
      <mc:Fallback>
        <oleObject progId="Visio.Drawing.15" shapeId="1120" r:id="rId10"/>
      </mc:Fallback>
    </mc:AlternateContent>
    <mc:AlternateContent xmlns:mc="http://schemas.openxmlformats.org/markup-compatibility/2006">
      <mc:Choice Requires="x14">
        <oleObject progId="Visio.Drawing.15" shapeId="1122" r:id="rId11">
          <objectPr defaultSize="0" autoPict="0" r:id="rId5">
            <anchor moveWithCells="1">
              <from>
                <xdr:col>15</xdr:col>
                <xdr:colOff>0</xdr:colOff>
                <xdr:row>9</xdr:row>
                <xdr:rowOff>167640</xdr:rowOff>
              </from>
              <to>
                <xdr:col>15</xdr:col>
                <xdr:colOff>160020</xdr:colOff>
                <xdr:row>10</xdr:row>
                <xdr:rowOff>152400</xdr:rowOff>
              </to>
            </anchor>
          </objectPr>
        </oleObject>
      </mc:Choice>
      <mc:Fallback>
        <oleObject progId="Visio.Drawing.15" shapeId="1122" r:id="rId11"/>
      </mc:Fallback>
    </mc:AlternateContent>
    <mc:AlternateContent xmlns:mc="http://schemas.openxmlformats.org/markup-compatibility/2006">
      <mc:Choice Requires="x14">
        <oleObject progId="Visio.Drawing.15" shapeId="1123" r:id="rId12">
          <objectPr defaultSize="0" autoPict="0" r:id="rId5">
            <anchor moveWithCells="1">
              <from>
                <xdr:col>15</xdr:col>
                <xdr:colOff>7620</xdr:colOff>
                <xdr:row>16</xdr:row>
                <xdr:rowOff>175260</xdr:rowOff>
              </from>
              <to>
                <xdr:col>15</xdr:col>
                <xdr:colOff>160020</xdr:colOff>
                <xdr:row>17</xdr:row>
                <xdr:rowOff>152400</xdr:rowOff>
              </to>
            </anchor>
          </objectPr>
        </oleObject>
      </mc:Choice>
      <mc:Fallback>
        <oleObject progId="Visio.Drawing.15" shapeId="1123" r:id="rId12"/>
      </mc:Fallback>
    </mc:AlternateContent>
    <mc:AlternateContent xmlns:mc="http://schemas.openxmlformats.org/markup-compatibility/2006">
      <mc:Choice Requires="x14">
        <oleObject progId="Visio.Drawing.15" shapeId="1138" r:id="rId13">
          <objectPr defaultSize="0" autoPict="0" r:id="rId5">
            <anchor moveWithCells="1">
              <from>
                <xdr:col>15</xdr:col>
                <xdr:colOff>7620</xdr:colOff>
                <xdr:row>61</xdr:row>
                <xdr:rowOff>0</xdr:rowOff>
              </from>
              <to>
                <xdr:col>15</xdr:col>
                <xdr:colOff>160020</xdr:colOff>
                <xdr:row>61</xdr:row>
                <xdr:rowOff>152400</xdr:rowOff>
              </to>
            </anchor>
          </objectPr>
        </oleObject>
      </mc:Choice>
      <mc:Fallback>
        <oleObject progId="Visio.Drawing.15" shapeId="1138" r:id="rId13"/>
      </mc:Fallback>
    </mc:AlternateContent>
    <mc:AlternateContent xmlns:mc="http://schemas.openxmlformats.org/markup-compatibility/2006">
      <mc:Choice Requires="x14">
        <oleObject progId="Visio.Drawing.15" shapeId="1149" r:id="rId14">
          <objectPr defaultSize="0" autoPict="0" r:id="rId5">
            <anchor moveWithCells="1">
              <from>
                <xdr:col>15</xdr:col>
                <xdr:colOff>22860</xdr:colOff>
                <xdr:row>43</xdr:row>
                <xdr:rowOff>0</xdr:rowOff>
              </from>
              <to>
                <xdr:col>15</xdr:col>
                <xdr:colOff>182880</xdr:colOff>
                <xdr:row>43</xdr:row>
                <xdr:rowOff>152400</xdr:rowOff>
              </to>
            </anchor>
          </objectPr>
        </oleObject>
      </mc:Choice>
      <mc:Fallback>
        <oleObject progId="Visio.Drawing.15" shapeId="1149" r:id="rId14"/>
      </mc:Fallback>
    </mc:AlternateContent>
    <mc:AlternateContent xmlns:mc="http://schemas.openxmlformats.org/markup-compatibility/2006">
      <mc:Choice Requires="x14">
        <oleObject progId="Visio.Drawing.15" shapeId="1150" r:id="rId15">
          <objectPr defaultSize="0" autoPict="0" r:id="rId5">
            <anchor moveWithCells="1">
              <from>
                <xdr:col>15</xdr:col>
                <xdr:colOff>22860</xdr:colOff>
                <xdr:row>50</xdr:row>
                <xdr:rowOff>175260</xdr:rowOff>
              </from>
              <to>
                <xdr:col>15</xdr:col>
                <xdr:colOff>182880</xdr:colOff>
                <xdr:row>51</xdr:row>
                <xdr:rowOff>152400</xdr:rowOff>
              </to>
            </anchor>
          </objectPr>
        </oleObject>
      </mc:Choice>
      <mc:Fallback>
        <oleObject progId="Visio.Drawing.15" shapeId="1150" r:id="rId15"/>
      </mc:Fallback>
    </mc:AlternateContent>
    <mc:AlternateContent xmlns:mc="http://schemas.openxmlformats.org/markup-compatibility/2006">
      <mc:Choice Requires="x14">
        <oleObject progId="Visio.Drawing.15" shapeId="1151" r:id="rId16">
          <objectPr defaultSize="0" autoPict="0" r:id="rId5">
            <anchor moveWithCells="1">
              <from>
                <xdr:col>15</xdr:col>
                <xdr:colOff>0</xdr:colOff>
                <xdr:row>29</xdr:row>
                <xdr:rowOff>0</xdr:rowOff>
              </from>
              <to>
                <xdr:col>15</xdr:col>
                <xdr:colOff>160020</xdr:colOff>
                <xdr:row>29</xdr:row>
                <xdr:rowOff>152400</xdr:rowOff>
              </to>
            </anchor>
          </objectPr>
        </oleObject>
      </mc:Choice>
      <mc:Fallback>
        <oleObject progId="Visio.Drawing.15" shapeId="1151" r:id="rId16"/>
      </mc:Fallback>
    </mc:AlternateContent>
    <mc:AlternateContent xmlns:mc="http://schemas.openxmlformats.org/markup-compatibility/2006">
      <mc:Choice Requires="x14">
        <oleObject progId="Visio.Drawing.15" shapeId="1152" r:id="rId17">
          <objectPr defaultSize="0" autoPict="0" r:id="rId5">
            <anchor moveWithCells="1">
              <from>
                <xdr:col>15</xdr:col>
                <xdr:colOff>0</xdr:colOff>
                <xdr:row>28</xdr:row>
                <xdr:rowOff>0</xdr:rowOff>
              </from>
              <to>
                <xdr:col>15</xdr:col>
                <xdr:colOff>160020</xdr:colOff>
                <xdr:row>28</xdr:row>
                <xdr:rowOff>152400</xdr:rowOff>
              </to>
            </anchor>
          </objectPr>
        </oleObject>
      </mc:Choice>
      <mc:Fallback>
        <oleObject progId="Visio.Drawing.15" shapeId="1152" r:id="rId17"/>
      </mc:Fallback>
    </mc:AlternateContent>
    <mc:AlternateContent xmlns:mc="http://schemas.openxmlformats.org/markup-compatibility/2006">
      <mc:Choice Requires="x14">
        <oleObject progId="Visio.Drawing.15" shapeId="1173" r:id="rId18">
          <objectPr defaultSize="0" autoPict="0" r:id="rId5">
            <anchor moveWithCells="1">
              <from>
                <xdr:col>15</xdr:col>
                <xdr:colOff>7620</xdr:colOff>
                <xdr:row>42</xdr:row>
                <xdr:rowOff>0</xdr:rowOff>
              </from>
              <to>
                <xdr:col>15</xdr:col>
                <xdr:colOff>160020</xdr:colOff>
                <xdr:row>42</xdr:row>
                <xdr:rowOff>152400</xdr:rowOff>
              </to>
            </anchor>
          </objectPr>
        </oleObject>
      </mc:Choice>
      <mc:Fallback>
        <oleObject progId="Visio.Drawing.15" shapeId="1173" r:id="rId18"/>
      </mc:Fallback>
    </mc:AlternateContent>
    <mc:AlternateContent xmlns:mc="http://schemas.openxmlformats.org/markup-compatibility/2006">
      <mc:Choice Requires="x14">
        <oleObject progId="Visio.Drawing.15" shapeId="1174" r:id="rId19">
          <objectPr defaultSize="0" autoPict="0" r:id="rId5">
            <anchor moveWithCells="1">
              <from>
                <xdr:col>15</xdr:col>
                <xdr:colOff>0</xdr:colOff>
                <xdr:row>44</xdr:row>
                <xdr:rowOff>0</xdr:rowOff>
              </from>
              <to>
                <xdr:col>15</xdr:col>
                <xdr:colOff>160020</xdr:colOff>
                <xdr:row>44</xdr:row>
                <xdr:rowOff>152400</xdr:rowOff>
              </to>
            </anchor>
          </objectPr>
        </oleObject>
      </mc:Choice>
      <mc:Fallback>
        <oleObject progId="Visio.Drawing.15" shapeId="1174" r:id="rId19"/>
      </mc:Fallback>
    </mc:AlternateContent>
    <mc:AlternateContent xmlns:mc="http://schemas.openxmlformats.org/markup-compatibility/2006">
      <mc:Choice Requires="x14">
        <oleObject progId="Visio.Drawing.15" shapeId="1176" r:id="rId20">
          <objectPr defaultSize="0" autoPict="0" r:id="rId5">
            <anchor moveWithCells="1">
              <from>
                <xdr:col>15</xdr:col>
                <xdr:colOff>0</xdr:colOff>
                <xdr:row>9</xdr:row>
                <xdr:rowOff>0</xdr:rowOff>
              </from>
              <to>
                <xdr:col>15</xdr:col>
                <xdr:colOff>160020</xdr:colOff>
                <xdr:row>9</xdr:row>
                <xdr:rowOff>152400</xdr:rowOff>
              </to>
            </anchor>
          </objectPr>
        </oleObject>
      </mc:Choice>
      <mc:Fallback>
        <oleObject progId="Visio.Drawing.15" shapeId="1176" r:id="rId20"/>
      </mc:Fallback>
    </mc:AlternateContent>
    <mc:AlternateContent xmlns:mc="http://schemas.openxmlformats.org/markup-compatibility/2006">
      <mc:Choice Requires="x14">
        <oleObject progId="Visio.Drawing.15" shapeId="1182" r:id="rId21">
          <objectPr defaultSize="0" autoPict="0" r:id="rId5">
            <anchor moveWithCells="1">
              <from>
                <xdr:col>15</xdr:col>
                <xdr:colOff>0</xdr:colOff>
                <xdr:row>33</xdr:row>
                <xdr:rowOff>167640</xdr:rowOff>
              </from>
              <to>
                <xdr:col>15</xdr:col>
                <xdr:colOff>160020</xdr:colOff>
                <xdr:row>34</xdr:row>
                <xdr:rowOff>152400</xdr:rowOff>
              </to>
            </anchor>
          </objectPr>
        </oleObject>
      </mc:Choice>
      <mc:Fallback>
        <oleObject progId="Visio.Drawing.15" shapeId="1182" r:id="rId21"/>
      </mc:Fallback>
    </mc:AlternateContent>
    <mc:AlternateContent xmlns:mc="http://schemas.openxmlformats.org/markup-compatibility/2006">
      <mc:Choice Requires="x14">
        <oleObject progId="Visio.Drawing.15" shapeId="1184" r:id="rId22">
          <objectPr defaultSize="0" autoPict="0" r:id="rId5">
            <anchor moveWithCells="1">
              <from>
                <xdr:col>15</xdr:col>
                <xdr:colOff>0</xdr:colOff>
                <xdr:row>30</xdr:row>
                <xdr:rowOff>167640</xdr:rowOff>
              </from>
              <to>
                <xdr:col>15</xdr:col>
                <xdr:colOff>160020</xdr:colOff>
                <xdr:row>31</xdr:row>
                <xdr:rowOff>152400</xdr:rowOff>
              </to>
            </anchor>
          </objectPr>
        </oleObject>
      </mc:Choice>
      <mc:Fallback>
        <oleObject progId="Visio.Drawing.15" shapeId="1184" r:id="rId22"/>
      </mc:Fallback>
    </mc:AlternateContent>
    <mc:AlternateContent xmlns:mc="http://schemas.openxmlformats.org/markup-compatibility/2006">
      <mc:Choice Requires="x14">
        <oleObject progId="Visio.Drawing.15" shapeId="1185" r:id="rId23">
          <objectPr defaultSize="0" autoPict="0" r:id="rId5">
            <anchor moveWithCells="1">
              <from>
                <xdr:col>15</xdr:col>
                <xdr:colOff>0</xdr:colOff>
                <xdr:row>31</xdr:row>
                <xdr:rowOff>167640</xdr:rowOff>
              </from>
              <to>
                <xdr:col>15</xdr:col>
                <xdr:colOff>160020</xdr:colOff>
                <xdr:row>32</xdr:row>
                <xdr:rowOff>152400</xdr:rowOff>
              </to>
            </anchor>
          </objectPr>
        </oleObject>
      </mc:Choice>
      <mc:Fallback>
        <oleObject progId="Visio.Drawing.15" shapeId="1185" r:id="rId23"/>
      </mc:Fallback>
    </mc:AlternateContent>
    <mc:AlternateContent xmlns:mc="http://schemas.openxmlformats.org/markup-compatibility/2006">
      <mc:Choice Requires="x14">
        <oleObject progId="Visio.Drawing.15" shapeId="1186" r:id="rId24">
          <objectPr defaultSize="0" autoPict="0" r:id="rId5">
            <anchor moveWithCells="1">
              <from>
                <xdr:col>15</xdr:col>
                <xdr:colOff>0</xdr:colOff>
                <xdr:row>32</xdr:row>
                <xdr:rowOff>167640</xdr:rowOff>
              </from>
              <to>
                <xdr:col>15</xdr:col>
                <xdr:colOff>160020</xdr:colOff>
                <xdr:row>33</xdr:row>
                <xdr:rowOff>152400</xdr:rowOff>
              </to>
            </anchor>
          </objectPr>
        </oleObject>
      </mc:Choice>
      <mc:Fallback>
        <oleObject progId="Visio.Drawing.15" shapeId="1186" r:id="rId24"/>
      </mc:Fallback>
    </mc:AlternateContent>
  </oleObjects>
  <mc:AlternateContent xmlns:mc="http://schemas.openxmlformats.org/markup-compatibility/2006">
    <mc:Choice Requires="x14">
      <controls>
        <mc:AlternateContent xmlns:mc="http://schemas.openxmlformats.org/markup-compatibility/2006">
          <mc:Choice Requires="x14">
            <control shapeId="1145" r:id="rId25" name="Wake On Voice">
              <controlPr defaultSize="0" autoFill="0" autoLine="0" autoPict="0" macro="[0]!Voice_Activation_Click">
                <anchor moveWithCells="1">
                  <from>
                    <xdr:col>2</xdr:col>
                    <xdr:colOff>7620</xdr:colOff>
                    <xdr:row>10</xdr:row>
                    <xdr:rowOff>30480</xdr:rowOff>
                  </from>
                  <to>
                    <xdr:col>5</xdr:col>
                    <xdr:colOff>7620</xdr:colOff>
                    <xdr:row>10</xdr:row>
                    <xdr:rowOff>152400</xdr:rowOff>
                  </to>
                </anchor>
              </controlPr>
            </control>
          </mc:Choice>
        </mc:AlternateContent>
        <mc:AlternateContent xmlns:mc="http://schemas.openxmlformats.org/markup-compatibility/2006">
          <mc:Choice Requires="x14">
            <control shapeId="1178" r:id="rId26" name="Connected Standby">
              <controlPr defaultSize="0" autoFill="0" autoLine="0" autoPict="0" macro="[0]!Connected_Standby_Click">
                <anchor moveWithCells="1">
                  <from>
                    <xdr:col>2</xdr:col>
                    <xdr:colOff>7620</xdr:colOff>
                    <xdr:row>9</xdr:row>
                    <xdr:rowOff>30480</xdr:rowOff>
                  </from>
                  <to>
                    <xdr:col>5</xdr:col>
                    <xdr:colOff>7620</xdr:colOff>
                    <xdr:row>9</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5000000}">
          <x14:formula1>
            <xm:f>DRAM_TGL!$A$13:$A$20</xm:f>
          </x14:formula1>
          <xm:sqref>C8:E8</xm:sqref>
        </x14:dataValidation>
        <x14:dataValidation type="list" allowBlank="1" showInputMessage="1" showErrorMessage="1" xr:uid="{00000000-0002-0000-0100-000004000000}">
          <x14:formula1>
            <xm:f>'TGL Rails and Iccmax'!$AG$5:$AN$5</xm:f>
          </x14:formula1>
          <xm:sqref>C5:E5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CW115"/>
  <sheetViews>
    <sheetView topLeftCell="Z1" zoomScale="70" zoomScaleNormal="70" workbookViewId="0">
      <pane ySplit="5" topLeftCell="A6" activePane="bottomLeft" state="frozen"/>
      <selection activeCell="Y1" sqref="Y1"/>
      <selection pane="bottomLeft" activeCell="AE2" sqref="AE2"/>
    </sheetView>
  </sheetViews>
  <sheetFormatPr defaultRowHeight="14.4" outlineLevelCol="1" x14ac:dyDescent="0.3"/>
  <cols>
    <col min="1" max="1" width="5.6640625" customWidth="1"/>
    <col min="2" max="2" width="24.109375" customWidth="1"/>
    <col min="3" max="3" width="24.109375" customWidth="1" outlineLevel="1"/>
    <col min="4" max="4" width="19.109375" customWidth="1" outlineLevel="1"/>
    <col min="5" max="5" width="19.33203125" style="135" customWidth="1" outlineLevel="1"/>
    <col min="6" max="6" width="14.88671875" style="135" customWidth="1" outlineLevel="1"/>
    <col min="7" max="7" width="19.33203125" style="135" customWidth="1" outlineLevel="1"/>
    <col min="8" max="8" width="22.6640625" style="135" customWidth="1" outlineLevel="1"/>
    <col min="9" max="10" width="17.88671875" style="135" customWidth="1" outlineLevel="1"/>
    <col min="11" max="11" width="22.44140625" style="135" customWidth="1" outlineLevel="1"/>
    <col min="12" max="13" width="17.88671875" style="135" customWidth="1" outlineLevel="1"/>
    <col min="14" max="14" width="30.44140625" style="135" customWidth="1" outlineLevel="1"/>
    <col min="15" max="15" width="17.88671875" style="135" customWidth="1" outlineLevel="1"/>
    <col min="16" max="16" width="35.33203125" customWidth="1" outlineLevel="1"/>
    <col min="17" max="17" width="26" customWidth="1" outlineLevel="1"/>
    <col min="18" max="18" width="44.33203125" customWidth="1" outlineLevel="1"/>
    <col min="19" max="19" width="31.44140625" style="139" customWidth="1" outlineLevel="1"/>
    <col min="20" max="20" width="16.88671875" style="139" customWidth="1" outlineLevel="1"/>
    <col min="21" max="21" width="31.44140625" style="139" customWidth="1" outlineLevel="1"/>
    <col min="22" max="22" width="16.88671875" style="139" customWidth="1" outlineLevel="1"/>
    <col min="23" max="23" width="28.6640625" style="139" customWidth="1" outlineLevel="1"/>
    <col min="24" max="24" width="31.44140625" style="139" customWidth="1" outlineLevel="1"/>
    <col min="25" max="25" width="16.88671875" style="139" customWidth="1" outlineLevel="1"/>
    <col min="26" max="27" width="4.88671875" style="139" customWidth="1"/>
    <col min="28" max="28" width="6.5546875" style="139" customWidth="1"/>
    <col min="29" max="29" width="4.5546875" style="139" customWidth="1"/>
    <col min="30" max="30" width="55.33203125" customWidth="1" collapsed="1"/>
    <col min="31" max="31" width="26.109375" customWidth="1"/>
    <col min="32" max="32" width="33.6640625" customWidth="1"/>
    <col min="33" max="50" width="13.6640625" style="160" customWidth="1"/>
    <col min="51" max="51" width="13.6640625" style="133" customWidth="1"/>
    <col min="52" max="61" width="10.6640625" style="160" customWidth="1"/>
    <col min="62" max="62" width="21.6640625" bestFit="1" customWidth="1"/>
    <col min="63" max="63" width="9" bestFit="1" customWidth="1"/>
    <col min="64" max="64" width="12.44140625" bestFit="1" customWidth="1"/>
    <col min="65" max="65" width="12.44140625" customWidth="1"/>
    <col min="66" max="66" width="16.109375" bestFit="1" customWidth="1"/>
    <col min="67" max="67" width="12.44140625" bestFit="1" customWidth="1"/>
    <col min="68" max="68" width="12.109375" customWidth="1"/>
    <col min="69" max="69" width="12.44140625" bestFit="1" customWidth="1"/>
    <col min="70" max="70" width="10.33203125" style="35" customWidth="1"/>
    <col min="71" max="71" width="13.109375" customWidth="1"/>
    <col min="72" max="72" width="13.109375" hidden="1" customWidth="1"/>
    <col min="73" max="74" width="13.109375" customWidth="1"/>
    <col min="75" max="75" width="16.109375" style="134" bestFit="1" customWidth="1"/>
    <col min="76" max="76" width="14.44140625" customWidth="1"/>
    <col min="77" max="77" width="2.109375" customWidth="1"/>
    <col min="78" max="78" width="17.88671875" style="35" bestFit="1" customWidth="1"/>
    <col min="79" max="79" width="14.6640625" customWidth="1"/>
    <col min="80" max="80" width="0.44140625" customWidth="1"/>
    <col min="81" max="81" width="17.88671875" style="134" bestFit="1" customWidth="1"/>
    <col min="82" max="82" width="14.109375" customWidth="1"/>
    <col min="83" max="83" width="0.6640625" style="134" customWidth="1"/>
    <col min="84" max="84" width="14" customWidth="1"/>
    <col min="85" max="85" width="2.109375" style="134" hidden="1" customWidth="1"/>
    <col min="86" max="86" width="12.88671875" hidden="1" customWidth="1"/>
    <col min="87" max="87" width="0.33203125" style="134" customWidth="1"/>
    <col min="88" max="88" width="38" customWidth="1"/>
    <col min="89" max="89" width="12.44140625" bestFit="1" customWidth="1"/>
    <col min="90" max="90" width="9.109375" customWidth="1"/>
    <col min="91" max="92" width="9.88671875" customWidth="1"/>
    <col min="93" max="93" width="9.109375" customWidth="1"/>
    <col min="94" max="94" width="9.88671875" customWidth="1"/>
    <col min="95" max="95" width="11.88671875" customWidth="1"/>
    <col min="96" max="96" width="4.109375" customWidth="1"/>
    <col min="97" max="97" width="19.33203125" style="135" customWidth="1"/>
    <col min="98" max="98" width="21.44140625" customWidth="1"/>
  </cols>
  <sheetData>
    <row r="1" spans="1:101" ht="37.5" customHeight="1" thickBot="1" x14ac:dyDescent="0.45">
      <c r="A1" s="128"/>
      <c r="B1" s="818" t="s">
        <v>418</v>
      </c>
      <c r="C1" s="818"/>
      <c r="D1" s="818"/>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818"/>
      <c r="AF1" s="818"/>
      <c r="AG1" s="818"/>
      <c r="AH1" s="818"/>
      <c r="AI1" s="818"/>
      <c r="AJ1" s="818"/>
      <c r="AK1" s="818"/>
      <c r="AL1" s="818"/>
      <c r="AM1" s="818"/>
      <c r="AN1" s="818"/>
      <c r="AO1" s="818"/>
      <c r="AP1" s="818"/>
      <c r="AQ1" s="818"/>
      <c r="AR1" s="818"/>
      <c r="AS1" s="818"/>
      <c r="AT1" s="818"/>
      <c r="AU1" s="818"/>
      <c r="AV1" s="818"/>
      <c r="AW1" s="818"/>
      <c r="AX1" s="818"/>
      <c r="AY1" s="133">
        <v>57</v>
      </c>
      <c r="AZ1" s="133">
        <v>63</v>
      </c>
      <c r="BA1" s="133">
        <v>80</v>
      </c>
      <c r="BB1" s="133">
        <v>80</v>
      </c>
      <c r="BC1" s="133">
        <v>84</v>
      </c>
      <c r="BD1" s="133" t="s">
        <v>304</v>
      </c>
      <c r="BE1" s="133"/>
      <c r="BF1" s="133"/>
      <c r="BG1" s="133"/>
      <c r="BH1" s="133">
        <v>73.790000000000006</v>
      </c>
      <c r="BI1" s="133">
        <v>82.73</v>
      </c>
      <c r="BJ1" s="133">
        <v>102.75</v>
      </c>
      <c r="BK1" s="128">
        <v>130.25</v>
      </c>
      <c r="BL1">
        <v>149.16</v>
      </c>
      <c r="BN1" s="1222" t="s">
        <v>108</v>
      </c>
      <c r="BO1" s="1223"/>
      <c r="BP1" s="1223"/>
      <c r="BQ1" s="1223"/>
      <c r="BR1" s="1223"/>
      <c r="BS1" s="1223"/>
      <c r="BT1" s="1223"/>
      <c r="BU1" s="1223"/>
      <c r="BV1" s="1223"/>
      <c r="BW1" s="1223"/>
      <c r="BX1" s="1223"/>
      <c r="BY1" s="1223"/>
      <c r="BZ1" s="1223"/>
      <c r="CA1" s="1223"/>
      <c r="CB1" s="1223"/>
      <c r="CC1" s="1223"/>
      <c r="CD1" s="1223"/>
      <c r="CE1" s="1223"/>
      <c r="CF1" s="1223"/>
      <c r="CG1" s="1223"/>
      <c r="CH1" s="1224"/>
      <c r="CK1" s="134"/>
      <c r="CS1"/>
      <c r="CU1" s="135"/>
    </row>
    <row r="2" spans="1:101" ht="28.5" customHeight="1" thickBot="1" x14ac:dyDescent="0.4">
      <c r="B2" s="136"/>
      <c r="C2" s="136"/>
      <c r="D2" s="136"/>
      <c r="E2" s="137"/>
      <c r="F2" s="137"/>
      <c r="G2" s="137"/>
      <c r="H2" s="137"/>
      <c r="I2" s="137"/>
      <c r="J2" s="137"/>
      <c r="K2" s="137"/>
      <c r="L2" s="137"/>
      <c r="M2" s="137"/>
      <c r="N2" s="137"/>
      <c r="O2" s="137"/>
      <c r="P2" s="137"/>
      <c r="Q2" s="137"/>
      <c r="R2" s="137"/>
      <c r="S2" s="138"/>
      <c r="T2" s="138"/>
      <c r="U2" s="138"/>
      <c r="X2" s="138"/>
      <c r="Z2" s="137"/>
      <c r="AA2" s="137"/>
      <c r="AB2" s="137"/>
      <c r="AC2" s="137"/>
      <c r="AD2" s="137"/>
      <c r="AE2" s="137"/>
      <c r="AF2" s="137"/>
      <c r="AG2" s="140" t="s">
        <v>109</v>
      </c>
      <c r="AH2" s="141" t="s">
        <v>110</v>
      </c>
      <c r="AI2" s="140" t="s">
        <v>109</v>
      </c>
      <c r="AJ2" s="141" t="s">
        <v>110</v>
      </c>
      <c r="AK2" s="142" t="s">
        <v>111</v>
      </c>
      <c r="AL2" s="142" t="s">
        <v>111</v>
      </c>
      <c r="AM2" s="144" t="s">
        <v>112</v>
      </c>
      <c r="AN2" s="145" t="s">
        <v>113</v>
      </c>
      <c r="AO2" s="143" t="s">
        <v>371</v>
      </c>
      <c r="AP2" s="146" t="s">
        <v>114</v>
      </c>
      <c r="AQ2" s="147" t="s">
        <v>115</v>
      </c>
      <c r="AR2" s="148" t="s">
        <v>116</v>
      </c>
      <c r="AS2" s="482" t="s">
        <v>372</v>
      </c>
      <c r="AZ2" s="150"/>
      <c r="BA2" s="149"/>
      <c r="BB2" s="149"/>
      <c r="BC2" s="149"/>
      <c r="BD2" s="149"/>
      <c r="BE2" s="149"/>
      <c r="BF2" s="149"/>
      <c r="BG2" s="149"/>
      <c r="BH2" s="149"/>
      <c r="BI2" s="149"/>
      <c r="BJ2" s="149">
        <v>55</v>
      </c>
      <c r="BK2" s="149">
        <v>66</v>
      </c>
      <c r="BL2" s="128">
        <v>91</v>
      </c>
      <c r="BM2" s="1225" t="s">
        <v>117</v>
      </c>
      <c r="BN2" s="1226"/>
      <c r="BO2" s="1226"/>
      <c r="BP2" s="1226"/>
      <c r="BQ2" s="1226"/>
      <c r="BR2" s="1226"/>
      <c r="BS2" s="1227"/>
      <c r="BT2" s="151"/>
      <c r="BU2" s="1231" t="s">
        <v>118</v>
      </c>
      <c r="BV2" s="1226"/>
      <c r="BW2" s="1226"/>
      <c r="BX2" s="1227"/>
      <c r="BY2" s="35"/>
      <c r="BZ2" s="1231" t="s">
        <v>119</v>
      </c>
      <c r="CA2" s="1226"/>
      <c r="CB2" s="1226"/>
      <c r="CC2" s="1226"/>
      <c r="CD2" s="1227"/>
      <c r="CE2" s="152"/>
      <c r="CF2" s="1231" t="s">
        <v>120</v>
      </c>
      <c r="CG2" s="1226"/>
      <c r="CH2" s="1226"/>
      <c r="CI2" s="1232"/>
      <c r="CJ2" s="1233"/>
      <c r="CK2" s="35"/>
      <c r="CS2"/>
      <c r="CU2" s="153"/>
    </row>
    <row r="3" spans="1:101" ht="6" customHeight="1" thickBot="1" x14ac:dyDescent="0.4">
      <c r="B3" s="154"/>
      <c r="C3" s="154"/>
      <c r="D3" s="155"/>
      <c r="E3" s="138"/>
      <c r="F3" s="138"/>
      <c r="G3" s="138"/>
      <c r="H3" s="138"/>
      <c r="I3" s="138"/>
      <c r="J3" s="138"/>
      <c r="K3" s="138"/>
      <c r="L3" s="138"/>
      <c r="M3" s="138"/>
      <c r="N3" s="138"/>
      <c r="O3" s="138"/>
      <c r="P3" s="138"/>
      <c r="Q3" s="138"/>
      <c r="R3" s="138"/>
      <c r="S3" s="138"/>
      <c r="T3" s="138"/>
      <c r="U3" s="138"/>
      <c r="V3" s="138"/>
      <c r="W3" s="138"/>
      <c r="X3" s="138"/>
      <c r="Y3" s="138"/>
      <c r="Z3" s="138"/>
      <c r="AA3" s="138"/>
      <c r="AB3" s="138"/>
      <c r="AC3" s="138"/>
      <c r="AD3" s="138"/>
      <c r="AE3" s="138"/>
      <c r="AF3" s="138"/>
      <c r="AG3" s="149"/>
      <c r="AH3" s="149"/>
      <c r="AI3" s="149"/>
      <c r="AJ3" s="149"/>
      <c r="AK3" s="149"/>
      <c r="AL3" s="149"/>
      <c r="AM3" s="149"/>
      <c r="AN3" s="149"/>
      <c r="AO3" s="149"/>
      <c r="AP3" s="149"/>
      <c r="AQ3" s="149"/>
      <c r="AR3" s="149"/>
      <c r="AS3" s="149"/>
      <c r="AT3" s="149"/>
      <c r="AU3" s="149"/>
      <c r="AV3" s="149"/>
      <c r="AW3" s="149"/>
      <c r="AX3" s="149"/>
      <c r="AY3" s="149"/>
      <c r="AZ3" s="150"/>
      <c r="BA3" s="149"/>
      <c r="BB3" s="149"/>
      <c r="BC3" s="149"/>
      <c r="BD3" s="149"/>
      <c r="BE3" s="149"/>
      <c r="BF3" s="149"/>
      <c r="BG3" s="149"/>
      <c r="BH3" s="149"/>
      <c r="BI3" s="149"/>
      <c r="BJ3" s="149"/>
      <c r="BK3" s="149"/>
      <c r="BL3" s="128"/>
      <c r="BM3" s="1228"/>
      <c r="BN3" s="1229"/>
      <c r="BO3" s="1229"/>
      <c r="BP3" s="1229"/>
      <c r="BQ3" s="1229"/>
      <c r="BR3" s="1229"/>
      <c r="BS3" s="1230"/>
      <c r="BT3" s="151"/>
      <c r="BU3" s="1228"/>
      <c r="BV3" s="1229"/>
      <c r="BW3" s="1229"/>
      <c r="BX3" s="1230"/>
      <c r="BY3" s="35"/>
      <c r="BZ3" s="1228"/>
      <c r="CA3" s="1229"/>
      <c r="CB3" s="1229"/>
      <c r="CC3" s="1229"/>
      <c r="CD3" s="1230"/>
      <c r="CE3" s="152"/>
      <c r="CF3" s="1228"/>
      <c r="CG3" s="1229"/>
      <c r="CH3" s="1229"/>
      <c r="CI3" s="1229"/>
      <c r="CJ3" s="1230"/>
      <c r="CK3" s="35"/>
      <c r="CS3"/>
      <c r="CU3" s="153"/>
    </row>
    <row r="4" spans="1:101" ht="27" customHeight="1" thickBot="1" x14ac:dyDescent="0.35">
      <c r="A4" s="156"/>
      <c r="B4" s="157"/>
      <c r="C4" s="157"/>
      <c r="D4" s="157"/>
      <c r="E4" s="158"/>
      <c r="F4" s="158"/>
      <c r="G4" s="158"/>
      <c r="H4" s="158"/>
      <c r="I4" s="158"/>
      <c r="J4" s="158"/>
      <c r="K4" s="158"/>
      <c r="L4" s="158"/>
      <c r="M4" s="158"/>
      <c r="N4" s="158"/>
      <c r="O4" s="158"/>
      <c r="P4" s="159"/>
      <c r="Q4" s="159"/>
      <c r="R4" s="159"/>
      <c r="S4" s="819" t="s">
        <v>121</v>
      </c>
      <c r="T4" s="820"/>
      <c r="U4" s="820"/>
      <c r="V4" s="820"/>
      <c r="W4" s="820"/>
      <c r="X4" s="820"/>
      <c r="Y4" s="820"/>
      <c r="Z4" s="1204" t="s">
        <v>122</v>
      </c>
      <c r="AA4" s="1204"/>
      <c r="AB4" s="1204"/>
      <c r="AC4" s="1204"/>
      <c r="AD4" s="159"/>
      <c r="AE4" s="159"/>
      <c r="AF4" s="159"/>
      <c r="AG4" s="1205"/>
      <c r="AH4" s="1205"/>
      <c r="AI4" s="1205"/>
      <c r="AJ4" s="1205"/>
      <c r="AK4" s="1205"/>
      <c r="AL4" s="1205"/>
      <c r="AM4" s="1205"/>
      <c r="AN4" s="1205"/>
      <c r="AO4" s="1205"/>
      <c r="AP4" s="1205"/>
      <c r="AQ4" s="1205"/>
      <c r="AR4" s="1205"/>
      <c r="AS4" s="1205"/>
      <c r="AT4" s="1205"/>
      <c r="AU4" s="1205"/>
      <c r="AV4" s="1205"/>
      <c r="AW4" s="1205"/>
      <c r="AX4" s="1205"/>
      <c r="AY4" s="1206"/>
      <c r="BA4" s="1207" t="s">
        <v>123</v>
      </c>
      <c r="BB4" s="1205"/>
      <c r="BC4" s="1205"/>
      <c r="BD4" s="1205"/>
      <c r="BE4" s="1205"/>
      <c r="BF4" s="1205"/>
      <c r="BG4" s="1205"/>
      <c r="BH4" s="1205"/>
      <c r="BI4" s="1205"/>
      <c r="BJ4" s="1205"/>
      <c r="BK4" s="1206"/>
      <c r="BL4" s="159"/>
      <c r="BM4" s="1208" t="s">
        <v>124</v>
      </c>
      <c r="BN4" s="1209"/>
      <c r="BO4" s="1209"/>
      <c r="BP4" s="1209"/>
      <c r="BQ4" s="1210"/>
      <c r="BR4" s="161" t="s">
        <v>125</v>
      </c>
      <c r="BS4" s="162" t="s">
        <v>126</v>
      </c>
      <c r="BT4" s="163"/>
      <c r="BU4" s="1211" t="s">
        <v>127</v>
      </c>
      <c r="BV4" s="1211"/>
      <c r="BW4" s="1211"/>
      <c r="BX4" s="161" t="s">
        <v>125</v>
      </c>
      <c r="BY4" s="164"/>
      <c r="BZ4" s="1212" t="s">
        <v>128</v>
      </c>
      <c r="CA4" s="1213"/>
      <c r="CB4" s="165"/>
      <c r="CC4" s="1212" t="s">
        <v>129</v>
      </c>
      <c r="CD4" s="1213"/>
      <c r="CE4" s="165"/>
      <c r="CF4" s="166" t="s">
        <v>130</v>
      </c>
      <c r="CG4" s="165"/>
      <c r="CH4" s="166" t="s">
        <v>128</v>
      </c>
      <c r="CI4" s="165"/>
      <c r="CJ4" s="167" t="s">
        <v>131</v>
      </c>
      <c r="CK4" s="159"/>
      <c r="CL4" s="1214" t="s">
        <v>132</v>
      </c>
      <c r="CM4" s="1215"/>
      <c r="CN4" s="1216" t="s">
        <v>133</v>
      </c>
      <c r="CO4" s="1214"/>
      <c r="CP4" s="815"/>
      <c r="CQ4" s="1221" t="s">
        <v>134</v>
      </c>
      <c r="CR4" s="1221"/>
      <c r="CS4" s="168" t="s">
        <v>135</v>
      </c>
      <c r="CU4" s="1214" t="s">
        <v>136</v>
      </c>
      <c r="CV4" s="1215"/>
    </row>
    <row r="5" spans="1:101" ht="39.9" customHeight="1" x14ac:dyDescent="0.3">
      <c r="A5" s="156"/>
      <c r="B5" s="816" t="s">
        <v>137</v>
      </c>
      <c r="C5" s="816" t="s">
        <v>138</v>
      </c>
      <c r="D5" s="816" t="s">
        <v>139</v>
      </c>
      <c r="E5" s="816" t="s">
        <v>140</v>
      </c>
      <c r="F5" s="816" t="s">
        <v>141</v>
      </c>
      <c r="G5" s="816" t="s">
        <v>142</v>
      </c>
      <c r="H5" s="816" t="s">
        <v>143</v>
      </c>
      <c r="I5" s="816" t="s">
        <v>144</v>
      </c>
      <c r="J5" s="816" t="s">
        <v>145</v>
      </c>
      <c r="K5" s="816" t="s">
        <v>146</v>
      </c>
      <c r="L5" s="816" t="s">
        <v>147</v>
      </c>
      <c r="M5" s="816" t="s">
        <v>148</v>
      </c>
      <c r="N5" s="816" t="s">
        <v>149</v>
      </c>
      <c r="O5" s="816" t="s">
        <v>150</v>
      </c>
      <c r="P5" s="816" t="s">
        <v>151</v>
      </c>
      <c r="Q5" s="169" t="s">
        <v>152</v>
      </c>
      <c r="R5" s="816" t="s">
        <v>153</v>
      </c>
      <c r="S5" s="816" t="s">
        <v>427</v>
      </c>
      <c r="T5" s="816" t="s">
        <v>428</v>
      </c>
      <c r="U5" s="816" t="s">
        <v>429</v>
      </c>
      <c r="V5" s="816" t="s">
        <v>430</v>
      </c>
      <c r="W5" s="816" t="s">
        <v>451</v>
      </c>
      <c r="X5" s="816" t="s">
        <v>452</v>
      </c>
      <c r="Y5" s="816" t="s">
        <v>417</v>
      </c>
      <c r="Z5" s="170" t="s">
        <v>17</v>
      </c>
      <c r="AA5" s="170" t="s">
        <v>35</v>
      </c>
      <c r="AB5" s="170" t="s">
        <v>154</v>
      </c>
      <c r="AC5" s="170" t="s">
        <v>155</v>
      </c>
      <c r="AD5" s="169" t="s">
        <v>156</v>
      </c>
      <c r="AE5" s="815" t="s">
        <v>453</v>
      </c>
      <c r="AF5" s="815"/>
      <c r="AG5" s="962" t="s">
        <v>594</v>
      </c>
      <c r="AH5" s="636" t="s">
        <v>586</v>
      </c>
      <c r="AI5" s="634" t="s">
        <v>595</v>
      </c>
      <c r="AJ5" s="636" t="s">
        <v>587</v>
      </c>
      <c r="AK5" s="635" t="s">
        <v>588</v>
      </c>
      <c r="AL5" s="635" t="s">
        <v>605</v>
      </c>
      <c r="AM5" s="636" t="s">
        <v>607</v>
      </c>
      <c r="AN5" s="635" t="s">
        <v>608</v>
      </c>
      <c r="AO5" s="636" t="s">
        <v>606</v>
      </c>
      <c r="AP5" s="636" t="s">
        <v>526</v>
      </c>
      <c r="AQ5" s="635" t="s">
        <v>454</v>
      </c>
      <c r="AR5" s="635" t="s">
        <v>455</v>
      </c>
      <c r="AS5" s="635" t="s">
        <v>456</v>
      </c>
      <c r="AT5" s="173" t="s">
        <v>457</v>
      </c>
      <c r="AU5" s="484" t="s">
        <v>458</v>
      </c>
      <c r="AV5" s="172" t="s">
        <v>459</v>
      </c>
      <c r="AW5" s="172" t="s">
        <v>460</v>
      </c>
      <c r="AX5" s="172" t="s">
        <v>461</v>
      </c>
      <c r="AY5" s="485" t="s">
        <v>462</v>
      </c>
      <c r="AZ5" s="605">
        <v>1</v>
      </c>
      <c r="BA5" s="171" t="s">
        <v>157</v>
      </c>
      <c r="BB5" s="171" t="s">
        <v>158</v>
      </c>
      <c r="BC5" s="173" t="s">
        <v>159</v>
      </c>
      <c r="BD5" s="173" t="s">
        <v>160</v>
      </c>
      <c r="BE5" s="173" t="s">
        <v>161</v>
      </c>
      <c r="BF5" s="171" t="s">
        <v>162</v>
      </c>
      <c r="BG5" s="171" t="s">
        <v>163</v>
      </c>
      <c r="BH5" s="172" t="s">
        <v>164</v>
      </c>
      <c r="BI5" s="172" t="s">
        <v>165</v>
      </c>
      <c r="BJ5" s="172" t="s">
        <v>166</v>
      </c>
      <c r="BK5" s="173" t="s">
        <v>167</v>
      </c>
      <c r="BL5" s="159"/>
      <c r="BM5" s="174" t="s">
        <v>168</v>
      </c>
      <c r="BN5" s="816" t="s">
        <v>169</v>
      </c>
      <c r="BO5" s="816" t="s">
        <v>170</v>
      </c>
      <c r="BP5" s="174" t="s">
        <v>171</v>
      </c>
      <c r="BQ5" s="816" t="s">
        <v>172</v>
      </c>
      <c r="BR5" s="816" t="s">
        <v>169</v>
      </c>
      <c r="BS5" s="175" t="s">
        <v>169</v>
      </c>
      <c r="BT5" s="176"/>
      <c r="BU5" s="816" t="s">
        <v>169</v>
      </c>
      <c r="BV5" s="816" t="s">
        <v>170</v>
      </c>
      <c r="BW5" s="816" t="s">
        <v>172</v>
      </c>
      <c r="BX5" s="816" t="s">
        <v>169</v>
      </c>
      <c r="BY5" s="164"/>
      <c r="BZ5" s="816" t="s">
        <v>169</v>
      </c>
      <c r="CA5" s="816" t="s">
        <v>170</v>
      </c>
      <c r="CB5" s="164"/>
      <c r="CC5" s="816" t="s">
        <v>169</v>
      </c>
      <c r="CD5" s="816" t="s">
        <v>170</v>
      </c>
      <c r="CE5" s="164"/>
      <c r="CF5" s="816" t="s">
        <v>170</v>
      </c>
      <c r="CG5" s="164"/>
      <c r="CH5" s="816" t="s">
        <v>170</v>
      </c>
      <c r="CI5" s="164"/>
      <c r="CJ5" s="175" t="s">
        <v>170</v>
      </c>
      <c r="CK5" s="159"/>
      <c r="CL5" s="816" t="s">
        <v>173</v>
      </c>
      <c r="CM5" s="177" t="s">
        <v>174</v>
      </c>
      <c r="CN5" s="177" t="s">
        <v>175</v>
      </c>
      <c r="CO5" s="177" t="s">
        <v>176</v>
      </c>
      <c r="CP5" s="177" t="s">
        <v>177</v>
      </c>
      <c r="CQ5" s="177" t="s">
        <v>175</v>
      </c>
      <c r="CR5" s="177" t="s">
        <v>176</v>
      </c>
      <c r="CS5" s="177" t="s">
        <v>178</v>
      </c>
      <c r="CU5" s="816" t="s">
        <v>179</v>
      </c>
      <c r="CV5" s="816" t="s">
        <v>180</v>
      </c>
    </row>
    <row r="6" spans="1:101" s="195" customFormat="1" ht="26.4" x14ac:dyDescent="0.3">
      <c r="A6" s="178"/>
      <c r="B6" s="179" t="s">
        <v>181</v>
      </c>
      <c r="C6" s="179"/>
      <c r="D6" s="180" t="s">
        <v>20</v>
      </c>
      <c r="E6" s="180" t="s">
        <v>284</v>
      </c>
      <c r="F6" s="180" t="s">
        <v>183</v>
      </c>
      <c r="G6" s="180" t="s">
        <v>419</v>
      </c>
      <c r="H6" s="180"/>
      <c r="I6" s="180" t="s">
        <v>95</v>
      </c>
      <c r="J6" s="180" t="s">
        <v>95</v>
      </c>
      <c r="K6" s="180"/>
      <c r="L6" s="180"/>
      <c r="M6" s="180"/>
      <c r="N6" s="180" t="s">
        <v>184</v>
      </c>
      <c r="O6" s="180" t="s">
        <v>185</v>
      </c>
      <c r="P6" s="181" t="s">
        <v>94</v>
      </c>
      <c r="Q6" s="182"/>
      <c r="R6" s="179"/>
      <c r="S6" s="809"/>
      <c r="T6" s="183"/>
      <c r="U6" s="809"/>
      <c r="V6" s="183"/>
      <c r="W6" s="183"/>
      <c r="X6" s="809"/>
      <c r="Y6" s="183"/>
      <c r="Z6" s="184" t="s">
        <v>186</v>
      </c>
      <c r="AA6" s="184"/>
      <c r="AB6" s="184"/>
      <c r="AC6" s="184"/>
      <c r="AD6" s="182" t="s">
        <v>463</v>
      </c>
      <c r="AE6" s="606" t="s">
        <v>524</v>
      </c>
      <c r="AF6" s="465"/>
      <c r="AG6" s="963">
        <v>25</v>
      </c>
      <c r="AH6" s="483">
        <v>42</v>
      </c>
      <c r="AI6" s="637">
        <v>35</v>
      </c>
      <c r="AJ6" s="483">
        <v>55</v>
      </c>
      <c r="AK6" s="637">
        <v>65</v>
      </c>
      <c r="AL6" s="637">
        <v>65</v>
      </c>
      <c r="AM6" s="483">
        <v>55</v>
      </c>
      <c r="AN6" s="637">
        <v>65</v>
      </c>
      <c r="AO6" s="483">
        <v>42</v>
      </c>
      <c r="AP6" s="483">
        <v>84</v>
      </c>
      <c r="AQ6" s="467">
        <v>159</v>
      </c>
      <c r="AR6" s="467">
        <v>159</v>
      </c>
      <c r="AS6" s="467">
        <v>163</v>
      </c>
      <c r="AT6" s="467">
        <v>36</v>
      </c>
      <c r="AU6" s="467">
        <v>49</v>
      </c>
      <c r="AV6" s="467">
        <v>133</v>
      </c>
      <c r="AW6" s="467">
        <v>122</v>
      </c>
      <c r="AX6" s="735">
        <v>133</v>
      </c>
      <c r="AY6" s="480">
        <v>146</v>
      </c>
      <c r="AZ6" s="605">
        <v>2</v>
      </c>
      <c r="BA6" s="187">
        <v>0</v>
      </c>
      <c r="BB6" s="188" t="s">
        <v>187</v>
      </c>
      <c r="BC6" s="189">
        <v>0</v>
      </c>
      <c r="BD6" s="189">
        <v>0</v>
      </c>
      <c r="BE6" s="189">
        <v>0</v>
      </c>
      <c r="BF6" s="187">
        <v>0</v>
      </c>
      <c r="BG6" s="187">
        <v>0</v>
      </c>
      <c r="BH6" s="186">
        <v>0</v>
      </c>
      <c r="BI6" s="186">
        <v>0</v>
      </c>
      <c r="BJ6" s="186">
        <v>0</v>
      </c>
      <c r="BK6" s="189">
        <v>0</v>
      </c>
      <c r="BL6" s="190"/>
      <c r="BM6" s="179"/>
      <c r="BN6" s="191"/>
      <c r="BO6" s="192"/>
      <c r="BP6" s="192"/>
      <c r="BQ6" s="192"/>
      <c r="BR6" s="192"/>
      <c r="BS6" s="784"/>
      <c r="BT6" s="772"/>
      <c r="BU6" s="193" t="s">
        <v>188</v>
      </c>
      <c r="BV6" s="192"/>
      <c r="BW6" s="193" t="s">
        <v>188</v>
      </c>
      <c r="BX6" s="193" t="s">
        <v>188</v>
      </c>
      <c r="BY6" s="194"/>
      <c r="BZ6" s="193" t="s">
        <v>188</v>
      </c>
      <c r="CA6" s="193" t="s">
        <v>188</v>
      </c>
      <c r="CB6" s="194"/>
      <c r="CC6" s="193" t="s">
        <v>188</v>
      </c>
      <c r="CD6" s="193" t="s">
        <v>188</v>
      </c>
      <c r="CE6" s="194"/>
      <c r="CF6" s="193" t="s">
        <v>188</v>
      </c>
      <c r="CG6" s="194"/>
      <c r="CH6" s="193" t="s">
        <v>188</v>
      </c>
      <c r="CI6" s="194"/>
      <c r="CJ6" s="193"/>
      <c r="CK6" s="190"/>
      <c r="CL6" s="179"/>
      <c r="CM6" s="193"/>
      <c r="CN6" s="193"/>
      <c r="CO6" s="193"/>
      <c r="CP6" s="193"/>
      <c r="CQ6" s="193"/>
      <c r="CR6" s="193"/>
      <c r="CS6" s="193"/>
      <c r="CU6" s="179"/>
      <c r="CV6" s="179"/>
    </row>
    <row r="7" spans="1:101" ht="51" customHeight="1" x14ac:dyDescent="0.3">
      <c r="A7" s="156"/>
      <c r="B7" s="793" t="s">
        <v>189</v>
      </c>
      <c r="C7" s="793"/>
      <c r="D7" s="793" t="s">
        <v>20</v>
      </c>
      <c r="E7" s="196">
        <v>0</v>
      </c>
      <c r="F7" s="793" t="s">
        <v>183</v>
      </c>
      <c r="G7" s="793"/>
      <c r="H7" s="793"/>
      <c r="I7" s="793" t="s">
        <v>95</v>
      </c>
      <c r="J7" s="793" t="s">
        <v>95</v>
      </c>
      <c r="K7" s="793"/>
      <c r="L7" s="793"/>
      <c r="M7" s="793"/>
      <c r="N7" s="180" t="s">
        <v>190</v>
      </c>
      <c r="O7" s="180" t="s">
        <v>185</v>
      </c>
      <c r="P7" s="181" t="s">
        <v>94</v>
      </c>
      <c r="Q7" s="182"/>
      <c r="R7" s="181"/>
      <c r="S7" s="809"/>
      <c r="T7" s="183"/>
      <c r="U7" s="809"/>
      <c r="V7" s="183"/>
      <c r="W7" s="183"/>
      <c r="X7" s="809"/>
      <c r="Y7" s="183"/>
      <c r="Z7" s="180" t="s">
        <v>186</v>
      </c>
      <c r="AA7" s="180"/>
      <c r="AB7" s="180"/>
      <c r="AC7" s="180"/>
      <c r="AD7" s="182" t="s">
        <v>84</v>
      </c>
      <c r="AE7" s="607"/>
      <c r="AF7" s="465"/>
      <c r="AG7" s="964"/>
      <c r="AH7" s="199"/>
      <c r="AI7" s="466"/>
      <c r="AJ7" s="199"/>
      <c r="AK7" s="199"/>
      <c r="AL7" s="199"/>
      <c r="AM7" s="199"/>
      <c r="AN7" s="199"/>
      <c r="AO7" s="199"/>
      <c r="AP7" s="199"/>
      <c r="AQ7" s="200"/>
      <c r="AR7" s="200"/>
      <c r="AS7" s="200"/>
      <c r="AT7" s="200" t="s">
        <v>192</v>
      </c>
      <c r="AU7" s="199" t="s">
        <v>192</v>
      </c>
      <c r="AV7" s="199" t="s">
        <v>192</v>
      </c>
      <c r="AW7" s="199" t="s">
        <v>192</v>
      </c>
      <c r="AX7" s="821"/>
      <c r="AY7" s="201" t="s">
        <v>192</v>
      </c>
      <c r="AZ7" s="605">
        <v>3</v>
      </c>
      <c r="BA7" s="197" t="s">
        <v>191</v>
      </c>
      <c r="BB7" s="198">
        <v>0</v>
      </c>
      <c r="BC7" s="202" t="s">
        <v>192</v>
      </c>
      <c r="BD7" s="202" t="s">
        <v>192</v>
      </c>
      <c r="BE7" s="202" t="s">
        <v>192</v>
      </c>
      <c r="BF7" s="203" t="s">
        <v>192</v>
      </c>
      <c r="BG7" s="203" t="s">
        <v>192</v>
      </c>
      <c r="BH7" s="204" t="s">
        <v>192</v>
      </c>
      <c r="BI7" s="204" t="s">
        <v>192</v>
      </c>
      <c r="BJ7" s="204" t="s">
        <v>192</v>
      </c>
      <c r="BK7" s="202" t="s">
        <v>192</v>
      </c>
      <c r="BL7" s="822"/>
      <c r="BM7" s="205" t="s">
        <v>193</v>
      </c>
      <c r="BN7" s="793" t="s">
        <v>194</v>
      </c>
      <c r="BO7" s="793" t="s">
        <v>193</v>
      </c>
      <c r="BP7" s="793" t="s">
        <v>193</v>
      </c>
      <c r="BQ7" s="793" t="s">
        <v>193</v>
      </c>
      <c r="BR7" s="793" t="s">
        <v>193</v>
      </c>
      <c r="BS7" s="1236" t="s">
        <v>195</v>
      </c>
      <c r="BT7" s="772"/>
      <c r="BU7" s="1234" t="s">
        <v>196</v>
      </c>
      <c r="BV7" s="793" t="s">
        <v>193</v>
      </c>
      <c r="BW7" s="1234" t="s">
        <v>196</v>
      </c>
      <c r="BX7" s="1234" t="s">
        <v>196</v>
      </c>
      <c r="BY7" s="206"/>
      <c r="BZ7" s="1234" t="s">
        <v>196</v>
      </c>
      <c r="CA7" s="1234" t="s">
        <v>196</v>
      </c>
      <c r="CB7" s="207"/>
      <c r="CC7" s="1234" t="s">
        <v>196</v>
      </c>
      <c r="CD7" s="1234" t="s">
        <v>196</v>
      </c>
      <c r="CE7" s="207"/>
      <c r="CF7" s="1234" t="s">
        <v>196</v>
      </c>
      <c r="CG7" s="207"/>
      <c r="CH7" s="1234" t="s">
        <v>196</v>
      </c>
      <c r="CI7" s="207"/>
      <c r="CJ7" s="1236" t="s">
        <v>197</v>
      </c>
      <c r="CK7" s="208"/>
      <c r="CL7" s="209" t="s">
        <v>198</v>
      </c>
      <c r="CM7" s="793" t="s">
        <v>199</v>
      </c>
      <c r="CN7" s="210">
        <v>20</v>
      </c>
      <c r="CO7" s="211">
        <v>0</v>
      </c>
      <c r="CP7" s="211"/>
      <c r="CQ7" s="210">
        <v>20</v>
      </c>
      <c r="CR7" s="211">
        <v>0</v>
      </c>
      <c r="CS7" s="211"/>
      <c r="CT7" s="212"/>
      <c r="CU7" s="793" t="s">
        <v>200</v>
      </c>
      <c r="CV7" s="793" t="s">
        <v>200</v>
      </c>
      <c r="CW7" s="212"/>
    </row>
    <row r="8" spans="1:101" ht="38.4" customHeight="1" x14ac:dyDescent="0.3">
      <c r="A8" s="156"/>
      <c r="B8" s="793" t="s">
        <v>201</v>
      </c>
      <c r="C8" s="793"/>
      <c r="D8" s="793" t="s">
        <v>20</v>
      </c>
      <c r="E8" s="196">
        <v>0</v>
      </c>
      <c r="F8" s="793" t="s">
        <v>183</v>
      </c>
      <c r="G8" s="793"/>
      <c r="H8" s="793"/>
      <c r="I8" s="793" t="s">
        <v>95</v>
      </c>
      <c r="J8" s="793" t="s">
        <v>95</v>
      </c>
      <c r="K8" s="793"/>
      <c r="L8" s="793"/>
      <c r="M8" s="793"/>
      <c r="N8" s="180" t="s">
        <v>190</v>
      </c>
      <c r="O8" s="180" t="s">
        <v>185</v>
      </c>
      <c r="P8" s="181" t="s">
        <v>94</v>
      </c>
      <c r="Q8" s="182"/>
      <c r="R8" s="181"/>
      <c r="S8" s="809"/>
      <c r="T8" s="183"/>
      <c r="U8" s="809"/>
      <c r="V8" s="183"/>
      <c r="W8" s="183"/>
      <c r="X8" s="809"/>
      <c r="Y8" s="183"/>
      <c r="Z8" s="180" t="s">
        <v>186</v>
      </c>
      <c r="AA8" s="180"/>
      <c r="AB8" s="180"/>
      <c r="AC8" s="180"/>
      <c r="AD8" s="182" t="s">
        <v>202</v>
      </c>
      <c r="AE8" s="606"/>
      <c r="AF8" s="465"/>
      <c r="AG8" s="965"/>
      <c r="AH8" s="953"/>
      <c r="AI8" s="466"/>
      <c r="AJ8" s="953"/>
      <c r="AK8" s="953"/>
      <c r="AL8" s="991"/>
      <c r="AM8" s="996"/>
      <c r="AN8" s="996"/>
      <c r="AO8" s="1150"/>
      <c r="AP8" s="998"/>
      <c r="AQ8" s="812"/>
      <c r="AR8" s="812"/>
      <c r="AS8" s="812"/>
      <c r="AT8" s="1242" t="s">
        <v>204</v>
      </c>
      <c r="AU8" s="1244" t="s">
        <v>204</v>
      </c>
      <c r="AV8" s="1244" t="s">
        <v>204</v>
      </c>
      <c r="AW8" s="1244" t="s">
        <v>204</v>
      </c>
      <c r="AX8" s="823"/>
      <c r="AY8" s="1246" t="s">
        <v>204</v>
      </c>
      <c r="AZ8" s="605">
        <v>4</v>
      </c>
      <c r="BA8" s="1248" t="s">
        <v>203</v>
      </c>
      <c r="BB8" s="198">
        <v>0</v>
      </c>
      <c r="BC8" s="1219" t="s">
        <v>204</v>
      </c>
      <c r="BD8" s="1219" t="s">
        <v>204</v>
      </c>
      <c r="BE8" s="1219" t="s">
        <v>204</v>
      </c>
      <c r="BF8" s="1240" t="s">
        <v>204</v>
      </c>
      <c r="BG8" s="1240" t="s">
        <v>204</v>
      </c>
      <c r="BH8" s="1217" t="s">
        <v>204</v>
      </c>
      <c r="BI8" s="1217" t="s">
        <v>204</v>
      </c>
      <c r="BJ8" s="1217" t="s">
        <v>204</v>
      </c>
      <c r="BK8" s="1219" t="s">
        <v>204</v>
      </c>
      <c r="BL8" s="822"/>
      <c r="BM8" s="205" t="s">
        <v>205</v>
      </c>
      <c r="BN8" s="793" t="s">
        <v>206</v>
      </c>
      <c r="BO8" s="793" t="s">
        <v>205</v>
      </c>
      <c r="BP8" s="793" t="s">
        <v>205</v>
      </c>
      <c r="BQ8" s="793" t="s">
        <v>205</v>
      </c>
      <c r="BR8" s="793" t="s">
        <v>205</v>
      </c>
      <c r="BS8" s="1239"/>
      <c r="BT8" s="772"/>
      <c r="BU8" s="1235"/>
      <c r="BV8" s="793" t="s">
        <v>205</v>
      </c>
      <c r="BW8" s="1235"/>
      <c r="BX8" s="1235"/>
      <c r="BY8" s="206"/>
      <c r="BZ8" s="1235"/>
      <c r="CA8" s="1235"/>
      <c r="CB8" s="207"/>
      <c r="CC8" s="1235"/>
      <c r="CD8" s="1235"/>
      <c r="CE8" s="207"/>
      <c r="CF8" s="1235"/>
      <c r="CG8" s="207"/>
      <c r="CH8" s="1235"/>
      <c r="CI8" s="207"/>
      <c r="CJ8" s="1237"/>
      <c r="CK8" s="208"/>
      <c r="CL8" s="209" t="s">
        <v>207</v>
      </c>
      <c r="CM8" s="793" t="s">
        <v>201</v>
      </c>
      <c r="CN8" s="210">
        <v>25</v>
      </c>
      <c r="CO8" s="211">
        <v>0</v>
      </c>
      <c r="CP8" s="211"/>
      <c r="CQ8" s="210">
        <v>25</v>
      </c>
      <c r="CR8" s="211">
        <v>0</v>
      </c>
      <c r="CS8" s="211"/>
      <c r="CT8" s="212"/>
      <c r="CU8" s="793" t="s">
        <v>208</v>
      </c>
      <c r="CV8" s="793" t="s">
        <v>209</v>
      </c>
      <c r="CW8" s="212"/>
    </row>
    <row r="9" spans="1:101" ht="38.4" customHeight="1" x14ac:dyDescent="0.3">
      <c r="A9" s="156"/>
      <c r="B9" s="205" t="s">
        <v>210</v>
      </c>
      <c r="C9" s="205"/>
      <c r="D9" s="205" t="s">
        <v>211</v>
      </c>
      <c r="E9" s="213"/>
      <c r="F9" s="205" t="s">
        <v>183</v>
      </c>
      <c r="G9" s="205"/>
      <c r="H9" s="205"/>
      <c r="I9" s="205"/>
      <c r="J9" s="205"/>
      <c r="K9" s="205"/>
      <c r="L9" s="205"/>
      <c r="M9" s="205"/>
      <c r="N9" s="214" t="s">
        <v>190</v>
      </c>
      <c r="O9" s="214" t="s">
        <v>185</v>
      </c>
      <c r="P9" s="215" t="s">
        <v>94</v>
      </c>
      <c r="Q9" s="216"/>
      <c r="R9" s="215"/>
      <c r="S9" s="809"/>
      <c r="T9" s="183"/>
      <c r="U9" s="809"/>
      <c r="V9" s="183"/>
      <c r="W9" s="183"/>
      <c r="X9" s="809"/>
      <c r="Y9" s="183"/>
      <c r="Z9" s="214" t="s">
        <v>186</v>
      </c>
      <c r="AA9" s="214"/>
      <c r="AB9" s="214"/>
      <c r="AC9" s="214"/>
      <c r="AD9" s="216" t="s">
        <v>212</v>
      </c>
      <c r="AE9" s="608"/>
      <c r="AF9" s="465"/>
      <c r="AG9" s="966"/>
      <c r="AH9" s="954"/>
      <c r="AI9" s="466"/>
      <c r="AJ9" s="954"/>
      <c r="AK9" s="954"/>
      <c r="AL9" s="992"/>
      <c r="AM9" s="997"/>
      <c r="AN9" s="997"/>
      <c r="AO9" s="1151"/>
      <c r="AP9" s="999"/>
      <c r="AQ9" s="813"/>
      <c r="AR9" s="813"/>
      <c r="AS9" s="813"/>
      <c r="AT9" s="1243"/>
      <c r="AU9" s="1245"/>
      <c r="AV9" s="1245"/>
      <c r="AW9" s="1245"/>
      <c r="AX9" s="824"/>
      <c r="AY9" s="1247"/>
      <c r="AZ9" s="605">
        <v>5</v>
      </c>
      <c r="BA9" s="1249"/>
      <c r="BB9" s="185" t="s">
        <v>187</v>
      </c>
      <c r="BC9" s="1220"/>
      <c r="BD9" s="1220"/>
      <c r="BE9" s="1220"/>
      <c r="BF9" s="1241"/>
      <c r="BG9" s="1241"/>
      <c r="BH9" s="1218"/>
      <c r="BI9" s="1218"/>
      <c r="BJ9" s="1218"/>
      <c r="BK9" s="1220"/>
      <c r="BL9" s="822"/>
      <c r="BM9" s="205"/>
      <c r="BN9" s="191"/>
      <c r="BO9" s="192"/>
      <c r="BP9" s="192"/>
      <c r="BQ9" s="192"/>
      <c r="BR9" s="192"/>
      <c r="BS9" s="784"/>
      <c r="BT9" s="772"/>
      <c r="BU9" s="1235"/>
      <c r="BV9" s="793" t="s">
        <v>213</v>
      </c>
      <c r="BW9" s="1235"/>
      <c r="BX9" s="1235"/>
      <c r="BY9" s="206"/>
      <c r="BZ9" s="1235"/>
      <c r="CA9" s="1235"/>
      <c r="CB9" s="207"/>
      <c r="CC9" s="1235"/>
      <c r="CD9" s="1235"/>
      <c r="CE9" s="207"/>
      <c r="CF9" s="1235"/>
      <c r="CG9" s="207"/>
      <c r="CH9" s="1235"/>
      <c r="CI9" s="207"/>
      <c r="CJ9" s="1237"/>
      <c r="CK9" s="208"/>
      <c r="CL9" s="209" t="s">
        <v>207</v>
      </c>
      <c r="CM9" s="192"/>
      <c r="CN9" s="192"/>
      <c r="CO9" s="192"/>
      <c r="CP9" s="192"/>
      <c r="CQ9" s="192"/>
      <c r="CR9" s="192"/>
      <c r="CS9" s="192"/>
      <c r="CT9" s="212"/>
      <c r="CU9" s="793"/>
      <c r="CV9" s="794"/>
      <c r="CW9" s="212"/>
    </row>
    <row r="10" spans="1:101" ht="38.4" customHeight="1" x14ac:dyDescent="0.3">
      <c r="A10" s="156"/>
      <c r="B10" s="205" t="s">
        <v>214</v>
      </c>
      <c r="C10" s="205"/>
      <c r="D10" s="205" t="s">
        <v>211</v>
      </c>
      <c r="E10" s="205"/>
      <c r="F10" s="205" t="s">
        <v>183</v>
      </c>
      <c r="G10" s="205"/>
      <c r="H10" s="205"/>
      <c r="I10" s="205"/>
      <c r="J10" s="205"/>
      <c r="K10" s="205"/>
      <c r="L10" s="205"/>
      <c r="M10" s="205"/>
      <c r="N10" s="205" t="s">
        <v>215</v>
      </c>
      <c r="O10" s="205" t="s">
        <v>182</v>
      </c>
      <c r="P10" s="215" t="s">
        <v>94</v>
      </c>
      <c r="Q10" s="217"/>
      <c r="R10" s="215"/>
      <c r="S10" s="809"/>
      <c r="T10" s="183"/>
      <c r="U10" s="809"/>
      <c r="V10" s="183"/>
      <c r="W10" s="183"/>
      <c r="X10" s="809"/>
      <c r="Y10" s="183"/>
      <c r="Z10" s="205" t="s">
        <v>186</v>
      </c>
      <c r="AA10" s="205"/>
      <c r="AB10" s="205"/>
      <c r="AC10" s="205"/>
      <c r="AD10" s="216" t="s">
        <v>216</v>
      </c>
      <c r="AE10" s="609"/>
      <c r="AF10" s="465"/>
      <c r="AG10" s="967"/>
      <c r="AH10" s="199"/>
      <c r="AI10" s="466"/>
      <c r="AJ10" s="199"/>
      <c r="AK10" s="201"/>
      <c r="AL10" s="201"/>
      <c r="AM10" s="199"/>
      <c r="AN10" s="201"/>
      <c r="AO10" s="199"/>
      <c r="AP10" s="201"/>
      <c r="AQ10" s="185"/>
      <c r="AR10" s="185"/>
      <c r="AS10" s="185"/>
      <c r="AT10" s="185" t="s">
        <v>187</v>
      </c>
      <c r="AU10" s="219" t="s">
        <v>187</v>
      </c>
      <c r="AV10" s="219" t="s">
        <v>187</v>
      </c>
      <c r="AW10" s="219" t="s">
        <v>187</v>
      </c>
      <c r="AX10" s="825"/>
      <c r="AY10" s="220" t="s">
        <v>187</v>
      </c>
      <c r="AZ10" s="605">
        <v>6</v>
      </c>
      <c r="BA10" s="218" t="s">
        <v>187</v>
      </c>
      <c r="BB10" s="185" t="s">
        <v>187</v>
      </c>
      <c r="BC10" s="202" t="s">
        <v>217</v>
      </c>
      <c r="BD10" s="202" t="s">
        <v>217</v>
      </c>
      <c r="BE10" s="202" t="s">
        <v>217</v>
      </c>
      <c r="BF10" s="185" t="s">
        <v>187</v>
      </c>
      <c r="BG10" s="185" t="s">
        <v>187</v>
      </c>
      <c r="BH10" s="219" t="s">
        <v>187</v>
      </c>
      <c r="BI10" s="219" t="s">
        <v>187</v>
      </c>
      <c r="BJ10" s="219" t="s">
        <v>187</v>
      </c>
      <c r="BK10" s="220" t="s">
        <v>187</v>
      </c>
      <c r="BL10" s="822"/>
      <c r="BM10" s="205"/>
      <c r="BN10" s="192"/>
      <c r="BO10" s="192"/>
      <c r="BP10" s="192"/>
      <c r="BQ10" s="192"/>
      <c r="BR10" s="221"/>
      <c r="BS10" s="805"/>
      <c r="BT10" s="795"/>
      <c r="BU10" s="1235"/>
      <c r="BV10" s="793" t="s">
        <v>214</v>
      </c>
      <c r="BW10" s="1235"/>
      <c r="BX10" s="1235"/>
      <c r="BY10" s="206"/>
      <c r="BZ10" s="192"/>
      <c r="CA10" s="192"/>
      <c r="CB10" s="206"/>
      <c r="CC10" s="1235"/>
      <c r="CD10" s="1235"/>
      <c r="CE10" s="206"/>
      <c r="CF10" s="192"/>
      <c r="CG10" s="206"/>
      <c r="CH10" s="192"/>
      <c r="CI10" s="206"/>
      <c r="CJ10" s="793" t="s">
        <v>214</v>
      </c>
      <c r="CK10" s="208"/>
      <c r="CL10" s="209" t="s">
        <v>218</v>
      </c>
      <c r="CM10" s="192"/>
      <c r="CN10" s="192"/>
      <c r="CO10" s="192"/>
      <c r="CP10" s="192"/>
      <c r="CQ10" s="192"/>
      <c r="CR10" s="192"/>
      <c r="CS10" s="192"/>
      <c r="CT10" s="212"/>
      <c r="CU10" s="222"/>
      <c r="CV10" s="212"/>
      <c r="CW10" s="212"/>
    </row>
    <row r="11" spans="1:101" ht="38.4" customHeight="1" x14ac:dyDescent="0.3">
      <c r="A11" s="156"/>
      <c r="B11" s="205" t="s">
        <v>219</v>
      </c>
      <c r="C11" s="205"/>
      <c r="D11" s="205" t="s">
        <v>211</v>
      </c>
      <c r="E11" s="205"/>
      <c r="F11" s="205" t="s">
        <v>183</v>
      </c>
      <c r="G11" s="205"/>
      <c r="H11" s="205"/>
      <c r="I11" s="205"/>
      <c r="J11" s="205"/>
      <c r="K11" s="205"/>
      <c r="L11" s="205"/>
      <c r="M11" s="205"/>
      <c r="N11" s="205" t="s">
        <v>215</v>
      </c>
      <c r="O11" s="205" t="s">
        <v>182</v>
      </c>
      <c r="P11" s="215" t="s">
        <v>94</v>
      </c>
      <c r="Q11" s="217"/>
      <c r="R11" s="215"/>
      <c r="S11" s="809"/>
      <c r="T11" s="183"/>
      <c r="U11" s="809"/>
      <c r="V11" s="183"/>
      <c r="W11" s="183"/>
      <c r="X11" s="809"/>
      <c r="Y11" s="183"/>
      <c r="Z11" s="205" t="s">
        <v>186</v>
      </c>
      <c r="AA11" s="205"/>
      <c r="AB11" s="205"/>
      <c r="AC11" s="205"/>
      <c r="AD11" s="216" t="s">
        <v>220</v>
      </c>
      <c r="AE11" s="609"/>
      <c r="AF11" s="465"/>
      <c r="AG11" s="967"/>
      <c r="AH11" s="199"/>
      <c r="AI11" s="466"/>
      <c r="AJ11" s="199"/>
      <c r="AK11" s="201"/>
      <c r="AL11" s="201"/>
      <c r="AM11" s="199"/>
      <c r="AN11" s="201"/>
      <c r="AO11" s="199"/>
      <c r="AP11" s="201"/>
      <c r="AQ11" s="185"/>
      <c r="AR11" s="185"/>
      <c r="AS11" s="185"/>
      <c r="AT11" s="185" t="s">
        <v>187</v>
      </c>
      <c r="AU11" s="219" t="s">
        <v>187</v>
      </c>
      <c r="AV11" s="219" t="s">
        <v>187</v>
      </c>
      <c r="AW11" s="219" t="s">
        <v>187</v>
      </c>
      <c r="AX11" s="825"/>
      <c r="AY11" s="220" t="s">
        <v>187</v>
      </c>
      <c r="AZ11" s="605">
        <v>7</v>
      </c>
      <c r="BA11" s="218" t="s">
        <v>187</v>
      </c>
      <c r="BB11" s="185" t="s">
        <v>187</v>
      </c>
      <c r="BC11" s="202" t="s">
        <v>221</v>
      </c>
      <c r="BD11" s="202" t="s">
        <v>221</v>
      </c>
      <c r="BE11" s="202" t="s">
        <v>221</v>
      </c>
      <c r="BF11" s="185" t="s">
        <v>187</v>
      </c>
      <c r="BG11" s="185" t="s">
        <v>187</v>
      </c>
      <c r="BH11" s="219" t="s">
        <v>187</v>
      </c>
      <c r="BI11" s="219" t="s">
        <v>187</v>
      </c>
      <c r="BJ11" s="219" t="s">
        <v>187</v>
      </c>
      <c r="BK11" s="220" t="s">
        <v>187</v>
      </c>
      <c r="BL11" s="822"/>
      <c r="BM11" s="205"/>
      <c r="BN11" s="192"/>
      <c r="BO11" s="192"/>
      <c r="BP11" s="192"/>
      <c r="BQ11" s="192"/>
      <c r="BR11" s="221"/>
      <c r="BS11" s="805"/>
      <c r="BT11" s="795"/>
      <c r="BU11" s="1238"/>
      <c r="BV11" s="793" t="s">
        <v>219</v>
      </c>
      <c r="BW11" s="1238"/>
      <c r="BX11" s="1238"/>
      <c r="BY11" s="206"/>
      <c r="BZ11" s="192"/>
      <c r="CA11" s="192"/>
      <c r="CB11" s="206"/>
      <c r="CC11" s="1238"/>
      <c r="CD11" s="1238"/>
      <c r="CE11" s="206"/>
      <c r="CF11" s="192"/>
      <c r="CG11" s="206"/>
      <c r="CH11" s="192"/>
      <c r="CI11" s="206"/>
      <c r="CJ11" s="793" t="s">
        <v>219</v>
      </c>
      <c r="CK11" s="208"/>
      <c r="CL11" s="209" t="s">
        <v>218</v>
      </c>
      <c r="CM11" s="192"/>
      <c r="CN11" s="192"/>
      <c r="CO11" s="192"/>
      <c r="CP11" s="192"/>
      <c r="CQ11" s="192"/>
      <c r="CR11" s="192"/>
      <c r="CS11" s="192"/>
      <c r="CT11" s="212"/>
      <c r="CU11" s="222"/>
      <c r="CV11" s="212"/>
      <c r="CW11" s="212"/>
    </row>
    <row r="12" spans="1:101" ht="25.5" customHeight="1" x14ac:dyDescent="0.3">
      <c r="A12" s="156"/>
      <c r="B12" s="793" t="s">
        <v>222</v>
      </c>
      <c r="C12" s="793"/>
      <c r="D12" s="793" t="s">
        <v>20</v>
      </c>
      <c r="E12" s="793" t="s">
        <v>223</v>
      </c>
      <c r="F12" s="793" t="s">
        <v>183</v>
      </c>
      <c r="G12" s="793"/>
      <c r="H12" s="793"/>
      <c r="I12" s="793" t="s">
        <v>95</v>
      </c>
      <c r="J12" s="793" t="s">
        <v>95</v>
      </c>
      <c r="K12" s="793"/>
      <c r="L12" s="793"/>
      <c r="M12" s="793"/>
      <c r="N12" s="180" t="s">
        <v>224</v>
      </c>
      <c r="O12" s="180" t="s">
        <v>185</v>
      </c>
      <c r="P12" s="181" t="s">
        <v>94</v>
      </c>
      <c r="Q12" s="182"/>
      <c r="R12" s="181"/>
      <c r="S12" s="809"/>
      <c r="T12" s="183"/>
      <c r="U12" s="809"/>
      <c r="V12" s="183"/>
      <c r="W12" s="183"/>
      <c r="X12" s="809"/>
      <c r="Y12" s="183"/>
      <c r="Z12" s="180" t="s">
        <v>186</v>
      </c>
      <c r="AA12" s="180"/>
      <c r="AB12" s="180"/>
      <c r="AC12" s="180"/>
      <c r="AD12" s="182" t="s">
        <v>225</v>
      </c>
      <c r="AE12" s="607"/>
      <c r="AF12" s="465"/>
      <c r="AG12" s="964"/>
      <c r="AH12" s="223"/>
      <c r="AI12" s="466"/>
      <c r="AJ12" s="223"/>
      <c r="AK12" s="223"/>
      <c r="AL12" s="223"/>
      <c r="AM12" s="223"/>
      <c r="AN12" s="223"/>
      <c r="AO12" s="223"/>
      <c r="AP12" s="223"/>
      <c r="AQ12" s="223"/>
      <c r="AR12" s="223"/>
      <c r="AS12" s="223"/>
      <c r="AT12" s="223">
        <v>12.18</v>
      </c>
      <c r="AU12" s="223">
        <v>12.29</v>
      </c>
      <c r="AV12" s="223">
        <v>12.18</v>
      </c>
      <c r="AW12" s="223">
        <v>12.29</v>
      </c>
      <c r="AX12" s="826"/>
      <c r="AY12" s="224">
        <v>12.18</v>
      </c>
      <c r="AZ12" s="605">
        <v>8</v>
      </c>
      <c r="BA12" s="197" t="s">
        <v>226</v>
      </c>
      <c r="BB12" s="198">
        <v>0</v>
      </c>
      <c r="BC12" s="224">
        <v>0</v>
      </c>
      <c r="BD12" s="224">
        <v>0</v>
      </c>
      <c r="BE12" s="224">
        <v>0</v>
      </c>
      <c r="BF12" s="198">
        <v>0</v>
      </c>
      <c r="BG12" s="198">
        <v>0</v>
      </c>
      <c r="BH12" s="223">
        <v>0</v>
      </c>
      <c r="BI12" s="223">
        <v>0</v>
      </c>
      <c r="BJ12" s="223">
        <v>0</v>
      </c>
      <c r="BK12" s="224">
        <v>0</v>
      </c>
      <c r="BL12" s="822"/>
      <c r="BM12" s="205" t="s">
        <v>227</v>
      </c>
      <c r="BN12" s="793" t="s">
        <v>227</v>
      </c>
      <c r="BO12" s="793" t="s">
        <v>227</v>
      </c>
      <c r="BP12" s="205" t="s">
        <v>227</v>
      </c>
      <c r="BQ12" s="793" t="s">
        <v>227</v>
      </c>
      <c r="BR12" s="793" t="s">
        <v>227</v>
      </c>
      <c r="BS12" s="793" t="s">
        <v>228</v>
      </c>
      <c r="BT12" s="772"/>
      <c r="BU12" s="747" t="s">
        <v>227</v>
      </c>
      <c r="BV12" s="793" t="s">
        <v>227</v>
      </c>
      <c r="BW12" s="747" t="s">
        <v>227</v>
      </c>
      <c r="BX12" s="747" t="s">
        <v>227</v>
      </c>
      <c r="BY12" s="206"/>
      <c r="BZ12" s="747" t="s">
        <v>227</v>
      </c>
      <c r="CA12" s="747" t="s">
        <v>227</v>
      </c>
      <c r="CB12" s="207"/>
      <c r="CC12" s="747" t="s">
        <v>227</v>
      </c>
      <c r="CD12" s="747" t="s">
        <v>227</v>
      </c>
      <c r="CE12" s="207"/>
      <c r="CF12" s="747" t="s">
        <v>229</v>
      </c>
      <c r="CG12" s="207"/>
      <c r="CH12" s="747" t="s">
        <v>229</v>
      </c>
      <c r="CI12" s="207"/>
      <c r="CJ12" s="747" t="s">
        <v>229</v>
      </c>
      <c r="CK12" s="208"/>
      <c r="CL12" s="209" t="s">
        <v>230</v>
      </c>
      <c r="CM12" s="793" t="s">
        <v>222</v>
      </c>
      <c r="CN12" s="210">
        <v>5</v>
      </c>
      <c r="CO12" s="211">
        <v>0</v>
      </c>
      <c r="CP12" s="211"/>
      <c r="CQ12" s="210">
        <v>5</v>
      </c>
      <c r="CR12" s="211">
        <v>0</v>
      </c>
      <c r="CS12" s="211"/>
      <c r="CT12" s="212"/>
      <c r="CU12" s="793" t="s">
        <v>209</v>
      </c>
      <c r="CV12" s="212" t="s">
        <v>231</v>
      </c>
      <c r="CW12" s="212"/>
    </row>
    <row r="13" spans="1:101" ht="26.4" x14ac:dyDescent="0.3">
      <c r="A13" s="157"/>
      <c r="B13" s="225" t="s">
        <v>232</v>
      </c>
      <c r="C13" s="226"/>
      <c r="D13" s="227"/>
      <c r="E13" s="226"/>
      <c r="F13" s="226"/>
      <c r="G13" s="226"/>
      <c r="H13" s="226"/>
      <c r="I13" s="226"/>
      <c r="J13" s="226"/>
      <c r="K13" s="226"/>
      <c r="L13" s="226"/>
      <c r="M13" s="226"/>
      <c r="N13" s="228"/>
      <c r="O13" s="228"/>
      <c r="P13" s="229"/>
      <c r="Q13" s="229"/>
      <c r="R13" s="229"/>
      <c r="S13" s="809"/>
      <c r="T13" s="183"/>
      <c r="U13" s="809"/>
      <c r="V13" s="183"/>
      <c r="W13" s="183"/>
      <c r="X13" s="809"/>
      <c r="Y13" s="183"/>
      <c r="Z13" s="811"/>
      <c r="AA13" s="811"/>
      <c r="AB13" s="811"/>
      <c r="AC13" s="811"/>
      <c r="AD13" s="229"/>
      <c r="AE13" s="229" t="s">
        <v>525</v>
      </c>
      <c r="AF13" s="465"/>
      <c r="AG13" s="968">
        <v>15</v>
      </c>
      <c r="AH13" s="232">
        <v>27</v>
      </c>
      <c r="AI13" s="467">
        <v>20</v>
      </c>
      <c r="AJ13" s="232">
        <v>36</v>
      </c>
      <c r="AK13" s="481">
        <v>43</v>
      </c>
      <c r="AL13" s="481">
        <v>43</v>
      </c>
      <c r="AM13" s="232">
        <v>36</v>
      </c>
      <c r="AN13" s="481">
        <v>43</v>
      </c>
      <c r="AO13" s="232">
        <v>27</v>
      </c>
      <c r="AP13" s="481"/>
      <c r="AQ13" s="231">
        <v>118</v>
      </c>
      <c r="AR13" s="231">
        <v>121</v>
      </c>
      <c r="AS13" s="231">
        <v>123</v>
      </c>
      <c r="AT13" s="736">
        <v>24</v>
      </c>
      <c r="AU13" s="467">
        <v>36</v>
      </c>
      <c r="AV13" s="467">
        <v>86</v>
      </c>
      <c r="AW13" s="467">
        <v>82</v>
      </c>
      <c r="AX13" s="735">
        <v>91</v>
      </c>
      <c r="AY13" s="480">
        <v>103</v>
      </c>
      <c r="AZ13" s="605">
        <v>9</v>
      </c>
      <c r="BA13" s="233"/>
      <c r="BB13" s="234"/>
      <c r="BC13" s="235"/>
      <c r="BD13" s="235"/>
      <c r="BE13" s="235"/>
      <c r="BF13" s="234"/>
      <c r="BG13" s="234"/>
      <c r="BH13" s="236"/>
      <c r="BI13" s="236"/>
      <c r="BJ13" s="236"/>
      <c r="BK13" s="235"/>
      <c r="BL13" s="822"/>
      <c r="BM13" s="237"/>
      <c r="BN13" s="226"/>
      <c r="BO13" s="226"/>
      <c r="BP13" s="226"/>
      <c r="BQ13" s="226"/>
      <c r="BR13" s="226"/>
      <c r="BS13" s="226"/>
      <c r="BT13" s="238"/>
      <c r="BU13" s="226"/>
      <c r="BV13" s="226"/>
      <c r="BW13" s="226"/>
      <c r="BX13" s="226"/>
      <c r="BY13" s="208"/>
      <c r="BZ13" s="226"/>
      <c r="CA13" s="226"/>
      <c r="CB13" s="239"/>
      <c r="CC13" s="226"/>
      <c r="CD13" s="226"/>
      <c r="CE13" s="239"/>
      <c r="CF13" s="226"/>
      <c r="CG13" s="239"/>
      <c r="CH13" s="226"/>
      <c r="CI13" s="240"/>
      <c r="CJ13" s="747"/>
      <c r="CK13" s="208"/>
      <c r="CL13" s="241"/>
      <c r="CM13" s="226"/>
      <c r="CN13" s="242"/>
      <c r="CO13" s="243"/>
      <c r="CP13" s="243"/>
      <c r="CQ13" s="242"/>
      <c r="CR13" s="243"/>
      <c r="CS13" s="243"/>
      <c r="CT13" s="244"/>
      <c r="CU13" s="226"/>
      <c r="CV13" s="244"/>
      <c r="CW13" s="212"/>
    </row>
    <row r="14" spans="1:101" s="195" customFormat="1" ht="26.4" x14ac:dyDescent="0.3">
      <c r="A14" s="178"/>
      <c r="B14" s="179" t="s">
        <v>181</v>
      </c>
      <c r="C14" s="179"/>
      <c r="D14" s="180" t="s">
        <v>20</v>
      </c>
      <c r="E14" s="180" t="s">
        <v>284</v>
      </c>
      <c r="F14" s="180" t="s">
        <v>183</v>
      </c>
      <c r="G14" s="180" t="s">
        <v>419</v>
      </c>
      <c r="H14" s="180"/>
      <c r="I14" s="180" t="s">
        <v>95</v>
      </c>
      <c r="J14" s="180" t="s">
        <v>95</v>
      </c>
      <c r="K14" s="180"/>
      <c r="L14" s="180"/>
      <c r="M14" s="180"/>
      <c r="N14" s="180" t="s">
        <v>184</v>
      </c>
      <c r="O14" s="180" t="s">
        <v>185</v>
      </c>
      <c r="P14" s="181" t="s">
        <v>94</v>
      </c>
      <c r="Q14" s="182"/>
      <c r="R14" s="179"/>
      <c r="S14" s="809"/>
      <c r="T14" s="183"/>
      <c r="U14" s="809"/>
      <c r="V14" s="183"/>
      <c r="W14" s="183"/>
      <c r="X14" s="809"/>
      <c r="Y14" s="183"/>
      <c r="Z14" s="184" t="s">
        <v>186</v>
      </c>
      <c r="AA14" s="184"/>
      <c r="AB14" s="184"/>
      <c r="AC14" s="184"/>
      <c r="AD14" s="182" t="s">
        <v>463</v>
      </c>
      <c r="AE14" s="606" t="s">
        <v>534</v>
      </c>
      <c r="AF14" s="465"/>
      <c r="AG14" s="963" t="s">
        <v>187</v>
      </c>
      <c r="AH14" s="483">
        <v>37</v>
      </c>
      <c r="AI14" s="637" t="s">
        <v>187</v>
      </c>
      <c r="AJ14" s="483">
        <v>47</v>
      </c>
      <c r="AK14" s="637">
        <v>55</v>
      </c>
      <c r="AL14" s="637" t="s">
        <v>187</v>
      </c>
      <c r="AM14" s="483">
        <v>47</v>
      </c>
      <c r="AN14" s="637">
        <v>55</v>
      </c>
      <c r="AO14" s="483">
        <v>37</v>
      </c>
      <c r="AP14" s="483">
        <v>84</v>
      </c>
      <c r="AQ14" s="467"/>
      <c r="AR14" s="467"/>
      <c r="AS14" s="467"/>
      <c r="AT14" s="467">
        <v>36</v>
      </c>
      <c r="AU14" s="467">
        <v>49</v>
      </c>
      <c r="AV14" s="467">
        <v>103</v>
      </c>
      <c r="AW14" s="467">
        <v>102</v>
      </c>
      <c r="AX14" s="735">
        <v>115</v>
      </c>
      <c r="AY14" s="480">
        <v>126</v>
      </c>
      <c r="AZ14" s="605">
        <v>2</v>
      </c>
      <c r="BA14" s="187">
        <v>0</v>
      </c>
      <c r="BB14" s="188" t="s">
        <v>187</v>
      </c>
      <c r="BC14" s="189">
        <v>0</v>
      </c>
      <c r="BD14" s="189">
        <v>0</v>
      </c>
      <c r="BE14" s="189">
        <v>0</v>
      </c>
      <c r="BF14" s="187">
        <v>0</v>
      </c>
      <c r="BG14" s="187">
        <v>0</v>
      </c>
      <c r="BH14" s="186">
        <v>0</v>
      </c>
      <c r="BI14" s="186">
        <v>0</v>
      </c>
      <c r="BJ14" s="186">
        <v>0</v>
      </c>
      <c r="BK14" s="189">
        <v>0</v>
      </c>
      <c r="BL14" s="190"/>
      <c r="BM14" s="179"/>
      <c r="BN14" s="191"/>
      <c r="BO14" s="192"/>
      <c r="BP14" s="192"/>
      <c r="BQ14" s="192"/>
      <c r="BR14" s="192"/>
      <c r="BS14" s="784"/>
      <c r="BT14" s="772"/>
      <c r="BU14" s="193" t="s">
        <v>188</v>
      </c>
      <c r="BV14" s="192"/>
      <c r="BW14" s="193" t="s">
        <v>188</v>
      </c>
      <c r="BX14" s="193" t="s">
        <v>188</v>
      </c>
      <c r="BY14" s="194"/>
      <c r="BZ14" s="193" t="s">
        <v>188</v>
      </c>
      <c r="CA14" s="193" t="s">
        <v>188</v>
      </c>
      <c r="CB14" s="194"/>
      <c r="CC14" s="193" t="s">
        <v>188</v>
      </c>
      <c r="CD14" s="193" t="s">
        <v>188</v>
      </c>
      <c r="CE14" s="194"/>
      <c r="CF14" s="193" t="s">
        <v>188</v>
      </c>
      <c r="CG14" s="194"/>
      <c r="CH14" s="193" t="s">
        <v>188</v>
      </c>
      <c r="CI14" s="194"/>
      <c r="CJ14" s="193"/>
      <c r="CK14" s="190"/>
      <c r="CL14" s="179"/>
      <c r="CM14" s="193"/>
      <c r="CN14" s="193"/>
      <c r="CO14" s="193"/>
      <c r="CP14" s="193"/>
      <c r="CQ14" s="193"/>
      <c r="CR14" s="193"/>
      <c r="CS14" s="193"/>
      <c r="CU14" s="179"/>
      <c r="CV14" s="179"/>
    </row>
    <row r="15" spans="1:101" ht="51" customHeight="1" x14ac:dyDescent="0.3">
      <c r="A15" s="156"/>
      <c r="B15" s="793" t="s">
        <v>189</v>
      </c>
      <c r="C15" s="793"/>
      <c r="D15" s="793" t="s">
        <v>20</v>
      </c>
      <c r="E15" s="196">
        <v>0</v>
      </c>
      <c r="F15" s="793" t="s">
        <v>183</v>
      </c>
      <c r="G15" s="793"/>
      <c r="H15" s="793"/>
      <c r="I15" s="793" t="s">
        <v>95</v>
      </c>
      <c r="J15" s="793" t="s">
        <v>95</v>
      </c>
      <c r="K15" s="793"/>
      <c r="L15" s="793"/>
      <c r="M15" s="793"/>
      <c r="N15" s="180" t="s">
        <v>190</v>
      </c>
      <c r="O15" s="180" t="s">
        <v>185</v>
      </c>
      <c r="P15" s="181" t="s">
        <v>94</v>
      </c>
      <c r="Q15" s="182"/>
      <c r="R15" s="181"/>
      <c r="S15" s="809"/>
      <c r="T15" s="183"/>
      <c r="U15" s="809"/>
      <c r="V15" s="183"/>
      <c r="W15" s="183"/>
      <c r="X15" s="809"/>
      <c r="Y15" s="183"/>
      <c r="Z15" s="180" t="s">
        <v>186</v>
      </c>
      <c r="AA15" s="180"/>
      <c r="AB15" s="180"/>
      <c r="AC15" s="180"/>
      <c r="AD15" s="182" t="s">
        <v>84</v>
      </c>
      <c r="AE15" s="607"/>
      <c r="AF15" s="465"/>
      <c r="AG15" s="964"/>
      <c r="AH15" s="199"/>
      <c r="AI15" s="466"/>
      <c r="AJ15" s="199"/>
      <c r="AK15" s="199"/>
      <c r="AL15" s="199"/>
      <c r="AM15" s="199"/>
      <c r="AN15" s="199"/>
      <c r="AO15" s="199"/>
      <c r="AP15" s="199"/>
      <c r="AQ15" s="200"/>
      <c r="AR15" s="200"/>
      <c r="AS15" s="200"/>
      <c r="AT15" s="200" t="s">
        <v>192</v>
      </c>
      <c r="AU15" s="199" t="s">
        <v>192</v>
      </c>
      <c r="AV15" s="199" t="s">
        <v>192</v>
      </c>
      <c r="AW15" s="199" t="s">
        <v>192</v>
      </c>
      <c r="AX15" s="821"/>
      <c r="AY15" s="201" t="s">
        <v>192</v>
      </c>
      <c r="AZ15" s="605">
        <v>3</v>
      </c>
      <c r="BA15" s="197" t="s">
        <v>191</v>
      </c>
      <c r="BB15" s="198">
        <v>0</v>
      </c>
      <c r="BC15" s="202" t="s">
        <v>192</v>
      </c>
      <c r="BD15" s="202" t="s">
        <v>192</v>
      </c>
      <c r="BE15" s="202" t="s">
        <v>192</v>
      </c>
      <c r="BF15" s="203" t="s">
        <v>192</v>
      </c>
      <c r="BG15" s="203" t="s">
        <v>192</v>
      </c>
      <c r="BH15" s="204" t="s">
        <v>192</v>
      </c>
      <c r="BI15" s="204" t="s">
        <v>192</v>
      </c>
      <c r="BJ15" s="204" t="s">
        <v>192</v>
      </c>
      <c r="BK15" s="202" t="s">
        <v>192</v>
      </c>
      <c r="BL15" s="822"/>
      <c r="BM15" s="205" t="s">
        <v>193</v>
      </c>
      <c r="BN15" s="793" t="s">
        <v>194</v>
      </c>
      <c r="BO15" s="793" t="s">
        <v>193</v>
      </c>
      <c r="BP15" s="793" t="s">
        <v>193</v>
      </c>
      <c r="BQ15" s="793" t="s">
        <v>193</v>
      </c>
      <c r="BR15" s="793" t="s">
        <v>193</v>
      </c>
      <c r="BS15" s="1236" t="s">
        <v>195</v>
      </c>
      <c r="BT15" s="772"/>
      <c r="BU15" s="1234" t="s">
        <v>196</v>
      </c>
      <c r="BV15" s="793" t="s">
        <v>193</v>
      </c>
      <c r="BW15" s="1234" t="s">
        <v>196</v>
      </c>
      <c r="BX15" s="1234" t="s">
        <v>196</v>
      </c>
      <c r="BY15" s="206"/>
      <c r="BZ15" s="1234" t="s">
        <v>196</v>
      </c>
      <c r="CA15" s="1234" t="s">
        <v>196</v>
      </c>
      <c r="CB15" s="207"/>
      <c r="CC15" s="1234" t="s">
        <v>196</v>
      </c>
      <c r="CD15" s="1234" t="s">
        <v>196</v>
      </c>
      <c r="CE15" s="207"/>
      <c r="CF15" s="1234" t="s">
        <v>196</v>
      </c>
      <c r="CG15" s="207"/>
      <c r="CH15" s="1234" t="s">
        <v>196</v>
      </c>
      <c r="CI15" s="207"/>
      <c r="CJ15" s="1236" t="s">
        <v>197</v>
      </c>
      <c r="CK15" s="208"/>
      <c r="CL15" s="209" t="s">
        <v>198</v>
      </c>
      <c r="CM15" s="793" t="s">
        <v>199</v>
      </c>
      <c r="CN15" s="210">
        <v>20</v>
      </c>
      <c r="CO15" s="211">
        <v>0</v>
      </c>
      <c r="CP15" s="211"/>
      <c r="CQ15" s="210">
        <v>20</v>
      </c>
      <c r="CR15" s="211">
        <v>0</v>
      </c>
      <c r="CS15" s="211"/>
      <c r="CT15" s="212"/>
      <c r="CU15" s="793" t="s">
        <v>200</v>
      </c>
      <c r="CV15" s="793" t="s">
        <v>200</v>
      </c>
      <c r="CW15" s="212"/>
    </row>
    <row r="16" spans="1:101" ht="38.4" customHeight="1" x14ac:dyDescent="0.3">
      <c r="A16" s="156"/>
      <c r="B16" s="793" t="s">
        <v>201</v>
      </c>
      <c r="C16" s="793"/>
      <c r="D16" s="793" t="s">
        <v>20</v>
      </c>
      <c r="E16" s="196">
        <v>0</v>
      </c>
      <c r="F16" s="793" t="s">
        <v>183</v>
      </c>
      <c r="G16" s="793"/>
      <c r="H16" s="793"/>
      <c r="I16" s="793" t="s">
        <v>95</v>
      </c>
      <c r="J16" s="793" t="s">
        <v>95</v>
      </c>
      <c r="K16" s="793"/>
      <c r="L16" s="793"/>
      <c r="M16" s="793"/>
      <c r="N16" s="180" t="s">
        <v>190</v>
      </c>
      <c r="O16" s="180" t="s">
        <v>185</v>
      </c>
      <c r="P16" s="181" t="s">
        <v>94</v>
      </c>
      <c r="Q16" s="182"/>
      <c r="R16" s="181"/>
      <c r="S16" s="809"/>
      <c r="T16" s="183"/>
      <c r="U16" s="809"/>
      <c r="V16" s="183"/>
      <c r="W16" s="183"/>
      <c r="X16" s="809"/>
      <c r="Y16" s="183"/>
      <c r="Z16" s="180" t="s">
        <v>186</v>
      </c>
      <c r="AA16" s="180"/>
      <c r="AB16" s="180"/>
      <c r="AC16" s="180"/>
      <c r="AD16" s="182" t="s">
        <v>202</v>
      </c>
      <c r="AE16" s="606"/>
      <c r="AF16" s="465"/>
      <c r="AG16" s="965"/>
      <c r="AH16" s="953"/>
      <c r="AI16" s="466"/>
      <c r="AJ16" s="953"/>
      <c r="AK16" s="953"/>
      <c r="AL16" s="991"/>
      <c r="AM16" s="996"/>
      <c r="AN16" s="996"/>
      <c r="AO16" s="1150"/>
      <c r="AP16" s="998"/>
      <c r="AQ16" s="812"/>
      <c r="AR16" s="812"/>
      <c r="AS16" s="812"/>
      <c r="AT16" s="1242" t="s">
        <v>204</v>
      </c>
      <c r="AU16" s="1244" t="s">
        <v>204</v>
      </c>
      <c r="AV16" s="1244" t="s">
        <v>204</v>
      </c>
      <c r="AW16" s="1244" t="s">
        <v>204</v>
      </c>
      <c r="AX16" s="823"/>
      <c r="AY16" s="1246" t="s">
        <v>204</v>
      </c>
      <c r="AZ16" s="605">
        <v>4</v>
      </c>
      <c r="BA16" s="1248" t="s">
        <v>203</v>
      </c>
      <c r="BB16" s="198">
        <v>0</v>
      </c>
      <c r="BC16" s="1219" t="s">
        <v>204</v>
      </c>
      <c r="BD16" s="1219" t="s">
        <v>204</v>
      </c>
      <c r="BE16" s="1219" t="s">
        <v>204</v>
      </c>
      <c r="BF16" s="1240" t="s">
        <v>204</v>
      </c>
      <c r="BG16" s="1240" t="s">
        <v>204</v>
      </c>
      <c r="BH16" s="1217" t="s">
        <v>204</v>
      </c>
      <c r="BI16" s="1217" t="s">
        <v>204</v>
      </c>
      <c r="BJ16" s="1217" t="s">
        <v>204</v>
      </c>
      <c r="BK16" s="1219" t="s">
        <v>204</v>
      </c>
      <c r="BL16" s="822"/>
      <c r="BM16" s="205" t="s">
        <v>205</v>
      </c>
      <c r="BN16" s="793" t="s">
        <v>206</v>
      </c>
      <c r="BO16" s="793" t="s">
        <v>205</v>
      </c>
      <c r="BP16" s="793" t="s">
        <v>205</v>
      </c>
      <c r="BQ16" s="793" t="s">
        <v>205</v>
      </c>
      <c r="BR16" s="793" t="s">
        <v>205</v>
      </c>
      <c r="BS16" s="1239"/>
      <c r="BT16" s="772"/>
      <c r="BU16" s="1235"/>
      <c r="BV16" s="793" t="s">
        <v>205</v>
      </c>
      <c r="BW16" s="1235"/>
      <c r="BX16" s="1235"/>
      <c r="BY16" s="206"/>
      <c r="BZ16" s="1235"/>
      <c r="CA16" s="1235"/>
      <c r="CB16" s="207"/>
      <c r="CC16" s="1235"/>
      <c r="CD16" s="1235"/>
      <c r="CE16" s="207"/>
      <c r="CF16" s="1235"/>
      <c r="CG16" s="207"/>
      <c r="CH16" s="1235"/>
      <c r="CI16" s="207"/>
      <c r="CJ16" s="1237"/>
      <c r="CK16" s="208"/>
      <c r="CL16" s="209" t="s">
        <v>207</v>
      </c>
      <c r="CM16" s="793" t="s">
        <v>201</v>
      </c>
      <c r="CN16" s="210">
        <v>25</v>
      </c>
      <c r="CO16" s="211">
        <v>0</v>
      </c>
      <c r="CP16" s="211"/>
      <c r="CQ16" s="210">
        <v>25</v>
      </c>
      <c r="CR16" s="211">
        <v>0</v>
      </c>
      <c r="CS16" s="211"/>
      <c r="CT16" s="212"/>
      <c r="CU16" s="793" t="s">
        <v>208</v>
      </c>
      <c r="CV16" s="793" t="s">
        <v>209</v>
      </c>
      <c r="CW16" s="212"/>
    </row>
    <row r="17" spans="1:101" ht="38.4" customHeight="1" x14ac:dyDescent="0.3">
      <c r="A17" s="156"/>
      <c r="B17" s="205" t="s">
        <v>210</v>
      </c>
      <c r="C17" s="205"/>
      <c r="D17" s="205" t="s">
        <v>211</v>
      </c>
      <c r="E17" s="213"/>
      <c r="F17" s="205" t="s">
        <v>183</v>
      </c>
      <c r="G17" s="205"/>
      <c r="H17" s="205"/>
      <c r="I17" s="205"/>
      <c r="J17" s="205"/>
      <c r="K17" s="205"/>
      <c r="L17" s="205"/>
      <c r="M17" s="205"/>
      <c r="N17" s="214" t="s">
        <v>190</v>
      </c>
      <c r="O17" s="214" t="s">
        <v>185</v>
      </c>
      <c r="P17" s="215" t="s">
        <v>94</v>
      </c>
      <c r="Q17" s="216"/>
      <c r="R17" s="215"/>
      <c r="S17" s="809"/>
      <c r="T17" s="183"/>
      <c r="U17" s="809"/>
      <c r="V17" s="183"/>
      <c r="W17" s="183"/>
      <c r="X17" s="809"/>
      <c r="Y17" s="183"/>
      <c r="Z17" s="214" t="s">
        <v>186</v>
      </c>
      <c r="AA17" s="214"/>
      <c r="AB17" s="214"/>
      <c r="AC17" s="214"/>
      <c r="AD17" s="216" t="s">
        <v>212</v>
      </c>
      <c r="AE17" s="608"/>
      <c r="AF17" s="465"/>
      <c r="AG17" s="966"/>
      <c r="AH17" s="954"/>
      <c r="AI17" s="466"/>
      <c r="AJ17" s="954"/>
      <c r="AK17" s="954"/>
      <c r="AL17" s="992"/>
      <c r="AM17" s="997"/>
      <c r="AN17" s="997"/>
      <c r="AO17" s="1151"/>
      <c r="AP17" s="999"/>
      <c r="AQ17" s="813"/>
      <c r="AR17" s="813"/>
      <c r="AS17" s="813"/>
      <c r="AT17" s="1243"/>
      <c r="AU17" s="1245"/>
      <c r="AV17" s="1245"/>
      <c r="AW17" s="1245"/>
      <c r="AX17" s="824"/>
      <c r="AY17" s="1247"/>
      <c r="AZ17" s="605">
        <v>5</v>
      </c>
      <c r="BA17" s="1249"/>
      <c r="BB17" s="185" t="s">
        <v>187</v>
      </c>
      <c r="BC17" s="1220"/>
      <c r="BD17" s="1220"/>
      <c r="BE17" s="1220"/>
      <c r="BF17" s="1241"/>
      <c r="BG17" s="1241"/>
      <c r="BH17" s="1218"/>
      <c r="BI17" s="1218"/>
      <c r="BJ17" s="1218"/>
      <c r="BK17" s="1220"/>
      <c r="BL17" s="822"/>
      <c r="BM17" s="205"/>
      <c r="BN17" s="191"/>
      <c r="BO17" s="192"/>
      <c r="BP17" s="192"/>
      <c r="BQ17" s="192"/>
      <c r="BR17" s="192"/>
      <c r="BS17" s="784"/>
      <c r="BT17" s="772"/>
      <c r="BU17" s="1235"/>
      <c r="BV17" s="793" t="s">
        <v>213</v>
      </c>
      <c r="BW17" s="1235"/>
      <c r="BX17" s="1235"/>
      <c r="BY17" s="206"/>
      <c r="BZ17" s="1235"/>
      <c r="CA17" s="1235"/>
      <c r="CB17" s="207"/>
      <c r="CC17" s="1235"/>
      <c r="CD17" s="1235"/>
      <c r="CE17" s="207"/>
      <c r="CF17" s="1235"/>
      <c r="CG17" s="207"/>
      <c r="CH17" s="1235"/>
      <c r="CI17" s="207"/>
      <c r="CJ17" s="1237"/>
      <c r="CK17" s="208"/>
      <c r="CL17" s="209" t="s">
        <v>207</v>
      </c>
      <c r="CM17" s="192"/>
      <c r="CN17" s="192"/>
      <c r="CO17" s="192"/>
      <c r="CP17" s="192"/>
      <c r="CQ17" s="192"/>
      <c r="CR17" s="192"/>
      <c r="CS17" s="192"/>
      <c r="CT17" s="212"/>
      <c r="CU17" s="793"/>
      <c r="CV17" s="794"/>
      <c r="CW17" s="212"/>
    </row>
    <row r="18" spans="1:101" ht="38.4" customHeight="1" x14ac:dyDescent="0.3">
      <c r="A18" s="156"/>
      <c r="B18" s="205" t="s">
        <v>214</v>
      </c>
      <c r="C18" s="205"/>
      <c r="D18" s="205" t="s">
        <v>211</v>
      </c>
      <c r="E18" s="205"/>
      <c r="F18" s="205" t="s">
        <v>183</v>
      </c>
      <c r="G18" s="205"/>
      <c r="H18" s="205"/>
      <c r="I18" s="205"/>
      <c r="J18" s="205"/>
      <c r="K18" s="205"/>
      <c r="L18" s="205"/>
      <c r="M18" s="205"/>
      <c r="N18" s="205" t="s">
        <v>215</v>
      </c>
      <c r="O18" s="205" t="s">
        <v>182</v>
      </c>
      <c r="P18" s="215" t="s">
        <v>94</v>
      </c>
      <c r="Q18" s="217"/>
      <c r="R18" s="215"/>
      <c r="S18" s="809"/>
      <c r="T18" s="183"/>
      <c r="U18" s="809"/>
      <c r="V18" s="183"/>
      <c r="W18" s="183"/>
      <c r="X18" s="809"/>
      <c r="Y18" s="183"/>
      <c r="Z18" s="205" t="s">
        <v>186</v>
      </c>
      <c r="AA18" s="205"/>
      <c r="AB18" s="205"/>
      <c r="AC18" s="205"/>
      <c r="AD18" s="216" t="s">
        <v>216</v>
      </c>
      <c r="AE18" s="609"/>
      <c r="AF18" s="465"/>
      <c r="AG18" s="967"/>
      <c r="AH18" s="199"/>
      <c r="AI18" s="466"/>
      <c r="AJ18" s="199"/>
      <c r="AK18" s="201"/>
      <c r="AL18" s="201"/>
      <c r="AM18" s="199"/>
      <c r="AN18" s="201"/>
      <c r="AO18" s="199"/>
      <c r="AP18" s="201"/>
      <c r="AQ18" s="185"/>
      <c r="AR18" s="185"/>
      <c r="AS18" s="185"/>
      <c r="AT18" s="185" t="s">
        <v>187</v>
      </c>
      <c r="AU18" s="219" t="s">
        <v>187</v>
      </c>
      <c r="AV18" s="219" t="s">
        <v>187</v>
      </c>
      <c r="AW18" s="219" t="s">
        <v>187</v>
      </c>
      <c r="AX18" s="825"/>
      <c r="AY18" s="220" t="s">
        <v>187</v>
      </c>
      <c r="AZ18" s="605">
        <v>6</v>
      </c>
      <c r="BA18" s="218" t="s">
        <v>187</v>
      </c>
      <c r="BB18" s="185" t="s">
        <v>187</v>
      </c>
      <c r="BC18" s="202" t="s">
        <v>217</v>
      </c>
      <c r="BD18" s="202" t="s">
        <v>217</v>
      </c>
      <c r="BE18" s="202" t="s">
        <v>217</v>
      </c>
      <c r="BF18" s="185" t="s">
        <v>187</v>
      </c>
      <c r="BG18" s="185" t="s">
        <v>187</v>
      </c>
      <c r="BH18" s="219" t="s">
        <v>187</v>
      </c>
      <c r="BI18" s="219" t="s">
        <v>187</v>
      </c>
      <c r="BJ18" s="219" t="s">
        <v>187</v>
      </c>
      <c r="BK18" s="220" t="s">
        <v>187</v>
      </c>
      <c r="BL18" s="822"/>
      <c r="BM18" s="205"/>
      <c r="BN18" s="192"/>
      <c r="BO18" s="192"/>
      <c r="BP18" s="192"/>
      <c r="BQ18" s="192"/>
      <c r="BR18" s="221"/>
      <c r="BS18" s="805"/>
      <c r="BT18" s="795"/>
      <c r="BU18" s="1235"/>
      <c r="BV18" s="793" t="s">
        <v>214</v>
      </c>
      <c r="BW18" s="1235"/>
      <c r="BX18" s="1235"/>
      <c r="BY18" s="206"/>
      <c r="BZ18" s="192"/>
      <c r="CA18" s="192"/>
      <c r="CB18" s="206"/>
      <c r="CC18" s="1235"/>
      <c r="CD18" s="1235"/>
      <c r="CE18" s="206"/>
      <c r="CF18" s="192"/>
      <c r="CG18" s="206"/>
      <c r="CH18" s="192"/>
      <c r="CI18" s="206"/>
      <c r="CJ18" s="793" t="s">
        <v>214</v>
      </c>
      <c r="CK18" s="208"/>
      <c r="CL18" s="209" t="s">
        <v>218</v>
      </c>
      <c r="CM18" s="192"/>
      <c r="CN18" s="192"/>
      <c r="CO18" s="192"/>
      <c r="CP18" s="192"/>
      <c r="CQ18" s="192"/>
      <c r="CR18" s="192"/>
      <c r="CS18" s="192"/>
      <c r="CT18" s="212"/>
      <c r="CU18" s="222"/>
      <c r="CV18" s="212"/>
      <c r="CW18" s="212"/>
    </row>
    <row r="19" spans="1:101" ht="38.4" customHeight="1" x14ac:dyDescent="0.3">
      <c r="A19" s="156"/>
      <c r="B19" s="205" t="s">
        <v>219</v>
      </c>
      <c r="C19" s="205"/>
      <c r="D19" s="205" t="s">
        <v>211</v>
      </c>
      <c r="E19" s="205"/>
      <c r="F19" s="205" t="s">
        <v>183</v>
      </c>
      <c r="G19" s="205"/>
      <c r="H19" s="205"/>
      <c r="I19" s="205"/>
      <c r="J19" s="205"/>
      <c r="K19" s="205"/>
      <c r="L19" s="205"/>
      <c r="M19" s="205"/>
      <c r="N19" s="205" t="s">
        <v>215</v>
      </c>
      <c r="O19" s="205" t="s">
        <v>182</v>
      </c>
      <c r="P19" s="215" t="s">
        <v>94</v>
      </c>
      <c r="Q19" s="217"/>
      <c r="R19" s="215"/>
      <c r="S19" s="809"/>
      <c r="T19" s="183"/>
      <c r="U19" s="809"/>
      <c r="V19" s="183"/>
      <c r="W19" s="183"/>
      <c r="X19" s="809"/>
      <c r="Y19" s="183"/>
      <c r="Z19" s="205" t="s">
        <v>186</v>
      </c>
      <c r="AA19" s="205"/>
      <c r="AB19" s="205"/>
      <c r="AC19" s="205"/>
      <c r="AD19" s="216" t="s">
        <v>220</v>
      </c>
      <c r="AE19" s="609"/>
      <c r="AF19" s="465"/>
      <c r="AG19" s="967"/>
      <c r="AH19" s="199"/>
      <c r="AI19" s="466"/>
      <c r="AJ19" s="199"/>
      <c r="AK19" s="201"/>
      <c r="AL19" s="201"/>
      <c r="AM19" s="199"/>
      <c r="AN19" s="201"/>
      <c r="AO19" s="199"/>
      <c r="AP19" s="201"/>
      <c r="AQ19" s="185"/>
      <c r="AR19" s="185"/>
      <c r="AS19" s="185"/>
      <c r="AT19" s="185" t="s">
        <v>187</v>
      </c>
      <c r="AU19" s="219" t="s">
        <v>187</v>
      </c>
      <c r="AV19" s="219" t="s">
        <v>187</v>
      </c>
      <c r="AW19" s="219" t="s">
        <v>187</v>
      </c>
      <c r="AX19" s="825"/>
      <c r="AY19" s="220" t="s">
        <v>187</v>
      </c>
      <c r="AZ19" s="605">
        <v>7</v>
      </c>
      <c r="BA19" s="218" t="s">
        <v>187</v>
      </c>
      <c r="BB19" s="185" t="s">
        <v>187</v>
      </c>
      <c r="BC19" s="202" t="s">
        <v>221</v>
      </c>
      <c r="BD19" s="202" t="s">
        <v>221</v>
      </c>
      <c r="BE19" s="202" t="s">
        <v>221</v>
      </c>
      <c r="BF19" s="185" t="s">
        <v>187</v>
      </c>
      <c r="BG19" s="185" t="s">
        <v>187</v>
      </c>
      <c r="BH19" s="219" t="s">
        <v>187</v>
      </c>
      <c r="BI19" s="219" t="s">
        <v>187</v>
      </c>
      <c r="BJ19" s="219" t="s">
        <v>187</v>
      </c>
      <c r="BK19" s="220" t="s">
        <v>187</v>
      </c>
      <c r="BL19" s="822"/>
      <c r="BM19" s="205"/>
      <c r="BN19" s="192"/>
      <c r="BO19" s="192"/>
      <c r="BP19" s="192"/>
      <c r="BQ19" s="192"/>
      <c r="BR19" s="221"/>
      <c r="BS19" s="805"/>
      <c r="BT19" s="795"/>
      <c r="BU19" s="1238"/>
      <c r="BV19" s="793" t="s">
        <v>219</v>
      </c>
      <c r="BW19" s="1238"/>
      <c r="BX19" s="1238"/>
      <c r="BY19" s="206"/>
      <c r="BZ19" s="192"/>
      <c r="CA19" s="192"/>
      <c r="CB19" s="206"/>
      <c r="CC19" s="1238"/>
      <c r="CD19" s="1238"/>
      <c r="CE19" s="206"/>
      <c r="CF19" s="192"/>
      <c r="CG19" s="206"/>
      <c r="CH19" s="192"/>
      <c r="CI19" s="206"/>
      <c r="CJ19" s="793" t="s">
        <v>219</v>
      </c>
      <c r="CK19" s="208"/>
      <c r="CL19" s="209" t="s">
        <v>218</v>
      </c>
      <c r="CM19" s="192"/>
      <c r="CN19" s="192"/>
      <c r="CO19" s="192"/>
      <c r="CP19" s="192"/>
      <c r="CQ19" s="192"/>
      <c r="CR19" s="192"/>
      <c r="CS19" s="192"/>
      <c r="CT19" s="212"/>
      <c r="CU19" s="222"/>
      <c r="CV19" s="212"/>
      <c r="CW19" s="212"/>
    </row>
    <row r="20" spans="1:101" ht="25.5" customHeight="1" x14ac:dyDescent="0.3">
      <c r="A20" s="156"/>
      <c r="B20" s="793" t="s">
        <v>222</v>
      </c>
      <c r="C20" s="793"/>
      <c r="D20" s="793" t="s">
        <v>20</v>
      </c>
      <c r="E20" s="793" t="s">
        <v>223</v>
      </c>
      <c r="F20" s="793" t="s">
        <v>183</v>
      </c>
      <c r="G20" s="793"/>
      <c r="H20" s="793"/>
      <c r="I20" s="793" t="s">
        <v>95</v>
      </c>
      <c r="J20" s="793" t="s">
        <v>95</v>
      </c>
      <c r="K20" s="793"/>
      <c r="L20" s="793"/>
      <c r="M20" s="793"/>
      <c r="N20" s="180" t="s">
        <v>224</v>
      </c>
      <c r="O20" s="180" t="s">
        <v>185</v>
      </c>
      <c r="P20" s="181" t="s">
        <v>94</v>
      </c>
      <c r="Q20" s="182"/>
      <c r="R20" s="181"/>
      <c r="S20" s="809"/>
      <c r="T20" s="183"/>
      <c r="U20" s="809"/>
      <c r="V20" s="183"/>
      <c r="W20" s="183"/>
      <c r="X20" s="809"/>
      <c r="Y20" s="183"/>
      <c r="Z20" s="180" t="s">
        <v>186</v>
      </c>
      <c r="AA20" s="180"/>
      <c r="AB20" s="180"/>
      <c r="AC20" s="180"/>
      <c r="AD20" s="182" t="s">
        <v>225</v>
      </c>
      <c r="AE20" s="607"/>
      <c r="AF20" s="465"/>
      <c r="AG20" s="964"/>
      <c r="AH20" s="223"/>
      <c r="AI20" s="466"/>
      <c r="AJ20" s="223"/>
      <c r="AK20" s="223"/>
      <c r="AL20" s="223"/>
      <c r="AM20" s="223"/>
      <c r="AN20" s="223"/>
      <c r="AO20" s="223"/>
      <c r="AP20" s="223"/>
      <c r="AQ20" s="223"/>
      <c r="AR20" s="223"/>
      <c r="AS20" s="223"/>
      <c r="AT20" s="223"/>
      <c r="AU20" s="223"/>
      <c r="AV20" s="223"/>
      <c r="AW20" s="223"/>
      <c r="AX20" s="826"/>
      <c r="AY20" s="224"/>
      <c r="AZ20" s="605">
        <v>8</v>
      </c>
      <c r="BA20" s="197" t="s">
        <v>226</v>
      </c>
      <c r="BB20" s="198">
        <v>0</v>
      </c>
      <c r="BC20" s="224">
        <v>0</v>
      </c>
      <c r="BD20" s="224">
        <v>0</v>
      </c>
      <c r="BE20" s="224">
        <v>0</v>
      </c>
      <c r="BF20" s="198">
        <v>0</v>
      </c>
      <c r="BG20" s="198">
        <v>0</v>
      </c>
      <c r="BH20" s="223">
        <v>0</v>
      </c>
      <c r="BI20" s="223">
        <v>0</v>
      </c>
      <c r="BJ20" s="223">
        <v>0</v>
      </c>
      <c r="BK20" s="224">
        <v>0</v>
      </c>
      <c r="BL20" s="822"/>
      <c r="BM20" s="205" t="s">
        <v>227</v>
      </c>
      <c r="BN20" s="793" t="s">
        <v>227</v>
      </c>
      <c r="BO20" s="793" t="s">
        <v>227</v>
      </c>
      <c r="BP20" s="205" t="s">
        <v>227</v>
      </c>
      <c r="BQ20" s="793" t="s">
        <v>227</v>
      </c>
      <c r="BR20" s="793" t="s">
        <v>227</v>
      </c>
      <c r="BS20" s="793" t="s">
        <v>228</v>
      </c>
      <c r="BT20" s="772"/>
      <c r="BU20" s="747" t="s">
        <v>227</v>
      </c>
      <c r="BV20" s="793" t="s">
        <v>227</v>
      </c>
      <c r="BW20" s="747" t="s">
        <v>227</v>
      </c>
      <c r="BX20" s="747" t="s">
        <v>227</v>
      </c>
      <c r="BY20" s="206"/>
      <c r="BZ20" s="747" t="s">
        <v>227</v>
      </c>
      <c r="CA20" s="747" t="s">
        <v>227</v>
      </c>
      <c r="CB20" s="207"/>
      <c r="CC20" s="747" t="s">
        <v>227</v>
      </c>
      <c r="CD20" s="747" t="s">
        <v>227</v>
      </c>
      <c r="CE20" s="207"/>
      <c r="CF20" s="747" t="s">
        <v>229</v>
      </c>
      <c r="CG20" s="207"/>
      <c r="CH20" s="747" t="s">
        <v>229</v>
      </c>
      <c r="CI20" s="207"/>
      <c r="CJ20" s="747" t="s">
        <v>229</v>
      </c>
      <c r="CK20" s="208"/>
      <c r="CL20" s="209" t="s">
        <v>230</v>
      </c>
      <c r="CM20" s="793" t="s">
        <v>222</v>
      </c>
      <c r="CN20" s="210">
        <v>5</v>
      </c>
      <c r="CO20" s="211">
        <v>0</v>
      </c>
      <c r="CP20" s="211"/>
      <c r="CQ20" s="210">
        <v>5</v>
      </c>
      <c r="CR20" s="211">
        <v>0</v>
      </c>
      <c r="CS20" s="211"/>
      <c r="CT20" s="212"/>
      <c r="CU20" s="793" t="s">
        <v>209</v>
      </c>
      <c r="CV20" s="212" t="s">
        <v>231</v>
      </c>
      <c r="CW20" s="212"/>
    </row>
    <row r="21" spans="1:101" ht="26.4" x14ac:dyDescent="0.3">
      <c r="A21" s="157"/>
      <c r="B21" s="225" t="s">
        <v>232</v>
      </c>
      <c r="C21" s="226"/>
      <c r="D21" s="227"/>
      <c r="E21" s="226"/>
      <c r="F21" s="226"/>
      <c r="G21" s="226"/>
      <c r="H21" s="226"/>
      <c r="I21" s="226"/>
      <c r="J21" s="226"/>
      <c r="K21" s="226"/>
      <c r="L21" s="226"/>
      <c r="M21" s="226"/>
      <c r="N21" s="228"/>
      <c r="O21" s="228"/>
      <c r="P21" s="229"/>
      <c r="Q21" s="229"/>
      <c r="R21" s="229"/>
      <c r="S21" s="809"/>
      <c r="T21" s="183"/>
      <c r="U21" s="809"/>
      <c r="V21" s="183"/>
      <c r="W21" s="183"/>
      <c r="X21" s="809"/>
      <c r="Y21" s="183"/>
      <c r="Z21" s="811"/>
      <c r="AA21" s="811"/>
      <c r="AB21" s="811"/>
      <c r="AC21" s="811"/>
      <c r="AD21" s="229"/>
      <c r="AE21" s="229" t="s">
        <v>535</v>
      </c>
      <c r="AF21" s="465"/>
      <c r="AG21" s="968" t="s">
        <v>187</v>
      </c>
      <c r="AH21" s="232">
        <v>23</v>
      </c>
      <c r="AI21" s="467" t="s">
        <v>187</v>
      </c>
      <c r="AJ21" s="232">
        <v>30</v>
      </c>
      <c r="AK21" s="481">
        <v>36</v>
      </c>
      <c r="AL21" s="481" t="s">
        <v>187</v>
      </c>
      <c r="AM21" s="232">
        <v>30</v>
      </c>
      <c r="AN21" s="481">
        <v>36</v>
      </c>
      <c r="AO21" s="232">
        <v>23</v>
      </c>
      <c r="AP21" s="481"/>
      <c r="AQ21" s="231"/>
      <c r="AR21" s="231"/>
      <c r="AS21" s="231"/>
      <c r="AT21" s="736">
        <v>24</v>
      </c>
      <c r="AU21" s="467">
        <v>36</v>
      </c>
      <c r="AV21" s="467">
        <v>55</v>
      </c>
      <c r="AW21" s="467">
        <v>82</v>
      </c>
      <c r="AX21" s="735">
        <v>91</v>
      </c>
      <c r="AY21" s="480">
        <v>103</v>
      </c>
      <c r="AZ21" s="605">
        <v>9</v>
      </c>
      <c r="BA21" s="233"/>
      <c r="BB21" s="234"/>
      <c r="BC21" s="235"/>
      <c r="BD21" s="235"/>
      <c r="BE21" s="235"/>
      <c r="BF21" s="234"/>
      <c r="BG21" s="234"/>
      <c r="BH21" s="236"/>
      <c r="BI21" s="236"/>
      <c r="BJ21" s="236"/>
      <c r="BK21" s="235"/>
      <c r="BL21" s="822"/>
      <c r="BM21" s="237"/>
      <c r="BN21" s="226"/>
      <c r="BO21" s="226"/>
      <c r="BP21" s="226"/>
      <c r="BQ21" s="226"/>
      <c r="BR21" s="226"/>
      <c r="BS21" s="226"/>
      <c r="BT21" s="238"/>
      <c r="BU21" s="226"/>
      <c r="BV21" s="226"/>
      <c r="BW21" s="226"/>
      <c r="BX21" s="226"/>
      <c r="BY21" s="208"/>
      <c r="BZ21" s="226"/>
      <c r="CA21" s="226"/>
      <c r="CB21" s="239"/>
      <c r="CC21" s="226"/>
      <c r="CD21" s="226"/>
      <c r="CE21" s="239"/>
      <c r="CF21" s="226"/>
      <c r="CG21" s="239"/>
      <c r="CH21" s="226"/>
      <c r="CI21" s="240"/>
      <c r="CJ21" s="747"/>
      <c r="CK21" s="208"/>
      <c r="CL21" s="241"/>
      <c r="CM21" s="226"/>
      <c r="CN21" s="242"/>
      <c r="CO21" s="243"/>
      <c r="CP21" s="243"/>
      <c r="CQ21" s="242"/>
      <c r="CR21" s="243"/>
      <c r="CS21" s="243"/>
      <c r="CT21" s="244"/>
      <c r="CU21" s="226"/>
      <c r="CV21" s="244"/>
      <c r="CW21" s="212"/>
    </row>
    <row r="22" spans="1:101" ht="26.4" x14ac:dyDescent="0.3">
      <c r="A22" s="157"/>
      <c r="B22" s="1250"/>
      <c r="C22" s="226"/>
      <c r="D22" s="227"/>
      <c r="E22" s="226"/>
      <c r="F22" s="226"/>
      <c r="G22" s="226"/>
      <c r="H22" s="226"/>
      <c r="I22" s="464"/>
      <c r="J22" s="226"/>
      <c r="K22" s="226"/>
      <c r="L22" s="226"/>
      <c r="M22" s="226"/>
      <c r="N22" s="228"/>
      <c r="O22" s="228"/>
      <c r="P22" s="229"/>
      <c r="Q22" s="229"/>
      <c r="R22" s="229"/>
      <c r="S22" s="809"/>
      <c r="T22" s="331"/>
      <c r="U22" s="809"/>
      <c r="V22" s="183"/>
      <c r="W22" s="183"/>
      <c r="X22" s="809"/>
      <c r="Y22" s="183"/>
      <c r="Z22" s="811" t="s">
        <v>186</v>
      </c>
      <c r="AA22" s="811"/>
      <c r="AB22" s="811"/>
      <c r="AC22" s="811"/>
      <c r="AD22" s="465" t="s">
        <v>21</v>
      </c>
      <c r="AE22" s="465" t="s">
        <v>536</v>
      </c>
      <c r="AF22" s="465" t="s">
        <v>572</v>
      </c>
      <c r="AG22" s="734">
        <v>25</v>
      </c>
      <c r="AH22" s="734">
        <v>25</v>
      </c>
      <c r="AI22" s="734">
        <v>27</v>
      </c>
      <c r="AJ22" s="734">
        <v>27</v>
      </c>
      <c r="AK22" s="734">
        <v>27</v>
      </c>
      <c r="AL22" s="734" t="s">
        <v>187</v>
      </c>
      <c r="AM22" s="734">
        <v>27</v>
      </c>
      <c r="AN22" s="734">
        <v>27</v>
      </c>
      <c r="AO22" s="734">
        <v>25</v>
      </c>
      <c r="AP22" s="734" t="s">
        <v>187</v>
      </c>
      <c r="AQ22" s="736">
        <v>16</v>
      </c>
      <c r="AR22" s="736">
        <v>16</v>
      </c>
      <c r="AS22" s="736">
        <v>16</v>
      </c>
      <c r="AT22" s="736"/>
      <c r="AU22" s="467"/>
      <c r="AV22" s="467"/>
      <c r="AW22" s="467"/>
      <c r="AX22" s="735"/>
      <c r="AY22" s="480"/>
      <c r="AZ22" s="605"/>
      <c r="BA22" s="468"/>
      <c r="BB22" s="770"/>
      <c r="BC22" s="763"/>
      <c r="BD22" s="763"/>
      <c r="BE22" s="763"/>
      <c r="BF22" s="770"/>
      <c r="BG22" s="770"/>
      <c r="BH22" s="762"/>
      <c r="BI22" s="762"/>
      <c r="BJ22" s="762"/>
      <c r="BK22" s="763"/>
      <c r="BL22" s="822"/>
      <c r="BM22" s="237"/>
      <c r="BN22" s="464"/>
      <c r="BO22" s="464"/>
      <c r="BP22" s="226"/>
      <c r="BQ22" s="464"/>
      <c r="BR22" s="464"/>
      <c r="BS22" s="464"/>
      <c r="BT22" s="238"/>
      <c r="BU22" s="464"/>
      <c r="BV22" s="464"/>
      <c r="BW22" s="464"/>
      <c r="BX22" s="226"/>
      <c r="BY22" s="208"/>
      <c r="BZ22" s="464"/>
      <c r="CA22" s="464"/>
      <c r="CB22" s="239"/>
      <c r="CC22" s="464"/>
      <c r="CD22" s="464"/>
      <c r="CE22" s="239"/>
      <c r="CF22" s="464"/>
      <c r="CG22" s="239"/>
      <c r="CH22" s="464"/>
      <c r="CI22" s="240"/>
      <c r="CJ22" s="747"/>
      <c r="CK22" s="208"/>
      <c r="CL22" s="469"/>
      <c r="CM22" s="464"/>
      <c r="CN22" s="470"/>
      <c r="CO22" s="471"/>
      <c r="CP22" s="471"/>
      <c r="CQ22" s="470"/>
      <c r="CR22" s="471"/>
      <c r="CS22" s="471"/>
      <c r="CT22" s="244"/>
      <c r="CU22" s="226"/>
      <c r="CV22" s="244"/>
      <c r="CW22" s="212"/>
    </row>
    <row r="23" spans="1:101" ht="26.4" x14ac:dyDescent="0.3">
      <c r="A23" s="157"/>
      <c r="B23" s="1250"/>
      <c r="C23" s="226"/>
      <c r="D23" s="227"/>
      <c r="E23" s="226"/>
      <c r="F23" s="226"/>
      <c r="G23" s="226"/>
      <c r="H23" s="226"/>
      <c r="I23" s="464"/>
      <c r="J23" s="226"/>
      <c r="K23" s="226"/>
      <c r="L23" s="226"/>
      <c r="M23" s="226"/>
      <c r="N23" s="228"/>
      <c r="O23" s="228"/>
      <c r="P23" s="229"/>
      <c r="Q23" s="229"/>
      <c r="R23" s="229"/>
      <c r="S23" s="809"/>
      <c r="T23" s="331"/>
      <c r="U23" s="809"/>
      <c r="V23" s="183"/>
      <c r="W23" s="183"/>
      <c r="X23" s="809"/>
      <c r="Y23" s="183"/>
      <c r="Z23" s="811"/>
      <c r="AA23" s="811"/>
      <c r="AB23" s="811"/>
      <c r="AC23" s="811"/>
      <c r="AD23" s="465"/>
      <c r="AE23" s="465" t="s">
        <v>537</v>
      </c>
      <c r="AF23" s="923" t="s">
        <v>596</v>
      </c>
      <c r="AG23" s="827">
        <v>25</v>
      </c>
      <c r="AH23" s="827">
        <v>25</v>
      </c>
      <c r="AI23" s="827">
        <v>27</v>
      </c>
      <c r="AJ23" s="827">
        <v>27</v>
      </c>
      <c r="AK23" s="827">
        <v>27</v>
      </c>
      <c r="AL23" s="827">
        <v>27</v>
      </c>
      <c r="AM23" s="827">
        <v>27</v>
      </c>
      <c r="AN23" s="827">
        <v>27</v>
      </c>
      <c r="AO23" s="827">
        <v>25</v>
      </c>
      <c r="AP23" s="827"/>
      <c r="AQ23" s="736">
        <v>12</v>
      </c>
      <c r="AR23" s="736">
        <v>12</v>
      </c>
      <c r="AS23" s="736">
        <v>12</v>
      </c>
      <c r="AT23" s="736"/>
      <c r="AU23" s="467"/>
      <c r="AV23" s="467"/>
      <c r="AW23" s="467"/>
      <c r="AX23" s="735"/>
      <c r="AY23" s="480"/>
      <c r="AZ23" s="605"/>
      <c r="BA23" s="468"/>
      <c r="BB23" s="770"/>
      <c r="BC23" s="763"/>
      <c r="BD23" s="763"/>
      <c r="BE23" s="763"/>
      <c r="BF23" s="770"/>
      <c r="BG23" s="770"/>
      <c r="BH23" s="762"/>
      <c r="BI23" s="762"/>
      <c r="BJ23" s="762"/>
      <c r="BK23" s="763"/>
      <c r="BL23" s="822"/>
      <c r="BM23" s="237"/>
      <c r="BN23" s="464"/>
      <c r="BO23" s="464"/>
      <c r="BP23" s="226"/>
      <c r="BQ23" s="464"/>
      <c r="BR23" s="464"/>
      <c r="BS23" s="464"/>
      <c r="BT23" s="238"/>
      <c r="BU23" s="464"/>
      <c r="BV23" s="464"/>
      <c r="BW23" s="464"/>
      <c r="BX23" s="226"/>
      <c r="BY23" s="208"/>
      <c r="BZ23" s="464"/>
      <c r="CA23" s="464"/>
      <c r="CB23" s="239"/>
      <c r="CC23" s="464"/>
      <c r="CD23" s="464"/>
      <c r="CE23" s="239"/>
      <c r="CF23" s="464"/>
      <c r="CG23" s="239"/>
      <c r="CH23" s="464"/>
      <c r="CI23" s="240"/>
      <c r="CJ23" s="747"/>
      <c r="CK23" s="208"/>
      <c r="CL23" s="469"/>
      <c r="CM23" s="464"/>
      <c r="CN23" s="470"/>
      <c r="CO23" s="471"/>
      <c r="CP23" s="471"/>
      <c r="CQ23" s="470"/>
      <c r="CR23" s="471"/>
      <c r="CS23" s="471"/>
      <c r="CT23" s="244"/>
      <c r="CU23" s="226"/>
      <c r="CV23" s="244"/>
      <c r="CW23" s="212"/>
    </row>
    <row r="24" spans="1:101" ht="26.4" x14ac:dyDescent="0.3">
      <c r="A24" s="157"/>
      <c r="B24" s="1250"/>
      <c r="C24" s="747"/>
      <c r="D24" s="747" t="s">
        <v>420</v>
      </c>
      <c r="E24" s="747" t="s">
        <v>284</v>
      </c>
      <c r="F24" s="747"/>
      <c r="G24" s="747" t="s">
        <v>282</v>
      </c>
      <c r="H24" s="747"/>
      <c r="I24" s="771" t="s">
        <v>98</v>
      </c>
      <c r="J24" s="747" t="s">
        <v>182</v>
      </c>
      <c r="K24" s="747"/>
      <c r="L24" s="747"/>
      <c r="M24" s="747"/>
      <c r="N24" s="811"/>
      <c r="O24" s="811"/>
      <c r="P24" s="473"/>
      <c r="Q24" s="473"/>
      <c r="R24" s="473"/>
      <c r="S24" s="809"/>
      <c r="T24" s="331"/>
      <c r="U24" s="809"/>
      <c r="V24" s="183"/>
      <c r="W24" s="183"/>
      <c r="X24" s="809"/>
      <c r="Y24" s="183"/>
      <c r="Z24" s="811" t="s">
        <v>186</v>
      </c>
      <c r="AA24" s="811" t="s">
        <v>186</v>
      </c>
      <c r="AB24" s="811"/>
      <c r="AC24" s="811"/>
      <c r="AD24" s="465" t="s">
        <v>464</v>
      </c>
      <c r="AE24" s="465" t="s">
        <v>538</v>
      </c>
      <c r="AF24" s="465"/>
      <c r="AG24" s="828">
        <v>30</v>
      </c>
      <c r="AH24" s="483">
        <v>30</v>
      </c>
      <c r="AI24" s="637">
        <v>30</v>
      </c>
      <c r="AJ24" s="483">
        <v>30</v>
      </c>
      <c r="AK24" s="483">
        <v>30</v>
      </c>
      <c r="AL24" s="483">
        <v>30</v>
      </c>
      <c r="AM24" s="483">
        <v>30</v>
      </c>
      <c r="AN24" s="483">
        <v>30</v>
      </c>
      <c r="AO24" s="483">
        <v>30</v>
      </c>
      <c r="AP24" s="483" t="s">
        <v>182</v>
      </c>
      <c r="AQ24" s="467"/>
      <c r="AR24" s="467"/>
      <c r="AS24" s="467"/>
      <c r="AT24" s="467" t="s">
        <v>187</v>
      </c>
      <c r="AU24" s="467" t="s">
        <v>187</v>
      </c>
      <c r="AV24" s="467" t="s">
        <v>187</v>
      </c>
      <c r="AW24" s="467" t="s">
        <v>187</v>
      </c>
      <c r="AX24" s="467" t="s">
        <v>187</v>
      </c>
      <c r="AY24" s="480" t="s">
        <v>187</v>
      </c>
      <c r="AZ24" s="605">
        <v>10</v>
      </c>
      <c r="BA24" s="468"/>
      <c r="BB24" s="770"/>
      <c r="BC24" s="763"/>
      <c r="BD24" s="763"/>
      <c r="BE24" s="763"/>
      <c r="BF24" s="770"/>
      <c r="BG24" s="770"/>
      <c r="BH24" s="762"/>
      <c r="BI24" s="762"/>
      <c r="BJ24" s="762"/>
      <c r="BK24" s="763"/>
      <c r="BL24" s="822"/>
      <c r="BM24" s="237"/>
      <c r="BN24" s="464"/>
      <c r="BO24" s="464"/>
      <c r="BP24" s="226"/>
      <c r="BQ24" s="464"/>
      <c r="BR24" s="464"/>
      <c r="BS24" s="464"/>
      <c r="BT24" s="238"/>
      <c r="BU24" s="464"/>
      <c r="BV24" s="464"/>
      <c r="BW24" s="464"/>
      <c r="BX24" s="226"/>
      <c r="BY24" s="208"/>
      <c r="BZ24" s="464"/>
      <c r="CA24" s="464"/>
      <c r="CB24" s="239"/>
      <c r="CC24" s="464"/>
      <c r="CD24" s="464"/>
      <c r="CE24" s="239"/>
      <c r="CF24" s="464"/>
      <c r="CG24" s="239"/>
      <c r="CH24" s="464"/>
      <c r="CI24" s="240"/>
      <c r="CJ24" s="747"/>
      <c r="CK24" s="208"/>
      <c r="CL24" s="469"/>
      <c r="CM24" s="464"/>
      <c r="CN24" s="470"/>
      <c r="CO24" s="471"/>
      <c r="CP24" s="471"/>
      <c r="CQ24" s="470"/>
      <c r="CR24" s="471"/>
      <c r="CS24" s="471"/>
      <c r="CT24" s="244"/>
      <c r="CU24" s="226"/>
      <c r="CV24" s="244"/>
      <c r="CW24" s="212"/>
    </row>
    <row r="25" spans="1:101" ht="26.4" x14ac:dyDescent="0.3">
      <c r="A25" s="157"/>
      <c r="B25" s="1250"/>
      <c r="C25" s="747"/>
      <c r="D25" s="747"/>
      <c r="E25" s="747"/>
      <c r="F25" s="747"/>
      <c r="G25" s="747"/>
      <c r="H25" s="747"/>
      <c r="I25" s="771"/>
      <c r="J25" s="771"/>
      <c r="K25" s="771"/>
      <c r="L25" s="771"/>
      <c r="M25" s="771"/>
      <c r="N25" s="773"/>
      <c r="O25" s="773"/>
      <c r="P25" s="474"/>
      <c r="Q25" s="475"/>
      <c r="R25" s="474"/>
      <c r="S25" s="809"/>
      <c r="T25" s="331"/>
      <c r="U25" s="809"/>
      <c r="V25" s="183"/>
      <c r="W25" s="183"/>
      <c r="X25" s="809"/>
      <c r="Y25" s="183"/>
      <c r="Z25" s="811"/>
      <c r="AA25" s="811"/>
      <c r="AB25" s="811"/>
      <c r="AC25" s="811"/>
      <c r="AD25" s="465"/>
      <c r="AE25" s="465" t="s">
        <v>539</v>
      </c>
      <c r="AF25" s="465"/>
      <c r="AG25" s="828">
        <v>12</v>
      </c>
      <c r="AH25" s="829">
        <v>12</v>
      </c>
      <c r="AI25" s="828">
        <v>14</v>
      </c>
      <c r="AJ25" s="829">
        <v>14</v>
      </c>
      <c r="AK25" s="829">
        <v>14</v>
      </c>
      <c r="AL25" s="829" t="s">
        <v>187</v>
      </c>
      <c r="AM25" s="829">
        <v>14</v>
      </c>
      <c r="AN25" s="829">
        <v>14</v>
      </c>
      <c r="AO25" s="829">
        <v>12</v>
      </c>
      <c r="AP25" s="829"/>
      <c r="AQ25" s="467"/>
      <c r="AR25" s="467"/>
      <c r="AS25" s="467"/>
      <c r="AT25" s="467"/>
      <c r="AU25" s="467"/>
      <c r="AV25" s="467"/>
      <c r="AW25" s="467"/>
      <c r="AX25" s="467"/>
      <c r="AY25" s="735"/>
      <c r="AZ25" s="605"/>
      <c r="BA25" s="468"/>
      <c r="BB25" s="770"/>
      <c r="BC25" s="763"/>
      <c r="BD25" s="763"/>
      <c r="BE25" s="763"/>
      <c r="BF25" s="770"/>
      <c r="BG25" s="770"/>
      <c r="BH25" s="762"/>
      <c r="BI25" s="762"/>
      <c r="BJ25" s="762"/>
      <c r="BK25" s="763"/>
      <c r="BL25" s="822"/>
      <c r="BM25" s="237"/>
      <c r="BN25" s="464"/>
      <c r="BO25" s="464"/>
      <c r="BP25" s="226"/>
      <c r="BQ25" s="464"/>
      <c r="BR25" s="464"/>
      <c r="BS25" s="464"/>
      <c r="BT25" s="238"/>
      <c r="BU25" s="464"/>
      <c r="BV25" s="464"/>
      <c r="BW25" s="464"/>
      <c r="BX25" s="226"/>
      <c r="BY25" s="208"/>
      <c r="BZ25" s="464"/>
      <c r="CA25" s="464"/>
      <c r="CB25" s="239"/>
      <c r="CC25" s="464"/>
      <c r="CD25" s="464"/>
      <c r="CE25" s="239"/>
      <c r="CF25" s="464"/>
      <c r="CG25" s="239"/>
      <c r="CH25" s="464"/>
      <c r="CI25" s="240"/>
      <c r="CJ25" s="747"/>
      <c r="CK25" s="208"/>
      <c r="CL25" s="469"/>
      <c r="CM25" s="464"/>
      <c r="CN25" s="470"/>
      <c r="CO25" s="471"/>
      <c r="CP25" s="471"/>
      <c r="CQ25" s="470"/>
      <c r="CR25" s="471"/>
      <c r="CS25" s="471"/>
      <c r="CT25" s="244"/>
      <c r="CU25" s="226"/>
      <c r="CV25" s="244"/>
      <c r="CW25" s="212"/>
    </row>
    <row r="26" spans="1:101" ht="40.950000000000003" customHeight="1" x14ac:dyDescent="0.3">
      <c r="A26" s="157"/>
      <c r="B26" s="1251"/>
      <c r="C26" s="747"/>
      <c r="D26" s="747"/>
      <c r="E26" s="747"/>
      <c r="F26" s="747"/>
      <c r="G26" s="747"/>
      <c r="H26" s="747"/>
      <c r="I26" s="771"/>
      <c r="J26" s="771"/>
      <c r="K26" s="771"/>
      <c r="L26" s="771"/>
      <c r="M26" s="771"/>
      <c r="N26" s="773"/>
      <c r="O26" s="773"/>
      <c r="P26" s="474"/>
      <c r="Q26" s="475"/>
      <c r="R26" s="474"/>
      <c r="S26" s="809"/>
      <c r="T26" s="331"/>
      <c r="U26" s="809"/>
      <c r="V26" s="183"/>
      <c r="W26" s="183"/>
      <c r="X26" s="809"/>
      <c r="Y26" s="183"/>
      <c r="Z26" s="811"/>
      <c r="AA26" s="811" t="s">
        <v>186</v>
      </c>
      <c r="AB26" s="811"/>
      <c r="AC26" s="811"/>
      <c r="AD26" s="465" t="s">
        <v>465</v>
      </c>
      <c r="AE26" s="465" t="s">
        <v>540</v>
      </c>
      <c r="AF26" s="923" t="s">
        <v>573</v>
      </c>
      <c r="AG26" s="638">
        <v>12</v>
      </c>
      <c r="AH26" s="638">
        <v>12</v>
      </c>
      <c r="AI26" s="638">
        <v>14</v>
      </c>
      <c r="AJ26" s="638">
        <v>14</v>
      </c>
      <c r="AK26" s="638">
        <v>14</v>
      </c>
      <c r="AL26" s="638">
        <v>14</v>
      </c>
      <c r="AM26" s="638">
        <v>14</v>
      </c>
      <c r="AN26" s="638">
        <v>14</v>
      </c>
      <c r="AO26" s="638">
        <v>12</v>
      </c>
      <c r="AP26" s="638" t="s">
        <v>187</v>
      </c>
      <c r="AQ26" s="467">
        <v>14.2</v>
      </c>
      <c r="AR26" s="467">
        <v>14.2</v>
      </c>
      <c r="AS26" s="467">
        <v>14.2</v>
      </c>
      <c r="AT26" s="467">
        <v>14.2</v>
      </c>
      <c r="AU26" s="467">
        <v>14.2</v>
      </c>
      <c r="AV26" s="467">
        <v>14.2</v>
      </c>
      <c r="AW26" s="467">
        <v>14.2</v>
      </c>
      <c r="AX26" s="467">
        <v>14.2</v>
      </c>
      <c r="AY26" s="467">
        <v>14.2</v>
      </c>
      <c r="AZ26" s="605"/>
      <c r="BA26" s="468"/>
      <c r="BB26" s="770"/>
      <c r="BC26" s="763"/>
      <c r="BD26" s="763"/>
      <c r="BE26" s="763"/>
      <c r="BF26" s="770"/>
      <c r="BG26" s="770"/>
      <c r="BH26" s="762"/>
      <c r="BI26" s="762"/>
      <c r="BJ26" s="762"/>
      <c r="BK26" s="763"/>
      <c r="BL26" s="822"/>
      <c r="BM26" s="237"/>
      <c r="BN26" s="464"/>
      <c r="BO26" s="464"/>
      <c r="BP26" s="226"/>
      <c r="BQ26" s="464"/>
      <c r="BR26" s="464"/>
      <c r="BS26" s="464"/>
      <c r="BT26" s="238"/>
      <c r="BU26" s="464"/>
      <c r="BV26" s="464"/>
      <c r="BW26" s="464"/>
      <c r="BX26" s="226"/>
      <c r="BY26" s="208"/>
      <c r="BZ26" s="464"/>
      <c r="CA26" s="464"/>
      <c r="CB26" s="239"/>
      <c r="CC26" s="464"/>
      <c r="CD26" s="464"/>
      <c r="CE26" s="239"/>
      <c r="CF26" s="464"/>
      <c r="CG26" s="239"/>
      <c r="CH26" s="464"/>
      <c r="CI26" s="240"/>
      <c r="CJ26" s="747"/>
      <c r="CK26" s="208"/>
      <c r="CL26" s="469"/>
      <c r="CM26" s="464"/>
      <c r="CN26" s="470"/>
      <c r="CO26" s="471"/>
      <c r="CP26" s="471"/>
      <c r="CQ26" s="470"/>
      <c r="CR26" s="471"/>
      <c r="CS26" s="471"/>
      <c r="CT26" s="244"/>
      <c r="CU26" s="226"/>
      <c r="CV26" s="244"/>
      <c r="CW26" s="212"/>
    </row>
    <row r="27" spans="1:101" ht="33" customHeight="1" x14ac:dyDescent="0.3">
      <c r="A27" s="157"/>
      <c r="B27" s="830"/>
      <c r="C27" s="747"/>
      <c r="D27" s="747"/>
      <c r="E27" s="747"/>
      <c r="F27" s="747"/>
      <c r="G27" s="747"/>
      <c r="H27" s="747"/>
      <c r="I27" s="771"/>
      <c r="J27" s="771"/>
      <c r="K27" s="771"/>
      <c r="L27" s="771"/>
      <c r="M27" s="771"/>
      <c r="N27" s="773"/>
      <c r="O27" s="773"/>
      <c r="P27" s="474"/>
      <c r="Q27" s="475"/>
      <c r="R27" s="474"/>
      <c r="S27" s="809"/>
      <c r="T27" s="331"/>
      <c r="U27" s="809"/>
      <c r="V27" s="183"/>
      <c r="W27" s="183"/>
      <c r="X27" s="809"/>
      <c r="Y27" s="183"/>
      <c r="Z27" s="811"/>
      <c r="AA27" s="811"/>
      <c r="AB27" s="811"/>
      <c r="AC27" s="811"/>
      <c r="AD27" s="465"/>
      <c r="AE27" s="465" t="s">
        <v>541</v>
      </c>
      <c r="AF27" s="465"/>
      <c r="AG27" s="828"/>
      <c r="AH27" s="828"/>
      <c r="AI27" s="828"/>
      <c r="AJ27" s="828"/>
      <c r="AK27" s="828"/>
      <c r="AL27" s="828"/>
      <c r="AM27" s="828"/>
      <c r="AN27" s="828"/>
      <c r="AO27" s="828"/>
      <c r="AP27" s="828"/>
      <c r="AQ27" s="467"/>
      <c r="AR27" s="467"/>
      <c r="AS27" s="467"/>
      <c r="AT27" s="467"/>
      <c r="AU27" s="467"/>
      <c r="AV27" s="467"/>
      <c r="AW27" s="467"/>
      <c r="AX27" s="735"/>
      <c r="AY27" s="735"/>
      <c r="AZ27" s="605"/>
      <c r="BA27" s="468"/>
      <c r="BB27" s="770"/>
      <c r="BC27" s="763"/>
      <c r="BD27" s="763"/>
      <c r="BE27" s="763"/>
      <c r="BF27" s="770"/>
      <c r="BG27" s="770"/>
      <c r="BH27" s="762"/>
      <c r="BI27" s="762"/>
      <c r="BJ27" s="762"/>
      <c r="BK27" s="763"/>
      <c r="BL27" s="822"/>
      <c r="BM27" s="237"/>
      <c r="BN27" s="464"/>
      <c r="BO27" s="464"/>
      <c r="BP27" s="226"/>
      <c r="BQ27" s="464"/>
      <c r="BR27" s="464"/>
      <c r="BS27" s="464"/>
      <c r="BT27" s="238"/>
      <c r="BU27" s="464"/>
      <c r="BV27" s="464"/>
      <c r="BW27" s="464"/>
      <c r="BX27" s="226"/>
      <c r="BY27" s="208"/>
      <c r="BZ27" s="464"/>
      <c r="CA27" s="464"/>
      <c r="CB27" s="239"/>
      <c r="CC27" s="464"/>
      <c r="CD27" s="464"/>
      <c r="CE27" s="239"/>
      <c r="CF27" s="464"/>
      <c r="CG27" s="239"/>
      <c r="CH27" s="464"/>
      <c r="CI27" s="240"/>
      <c r="CJ27" s="747"/>
      <c r="CK27" s="208"/>
      <c r="CL27" s="469"/>
      <c r="CM27" s="464"/>
      <c r="CN27" s="470"/>
      <c r="CO27" s="471"/>
      <c r="CP27" s="471"/>
      <c r="CQ27" s="470"/>
      <c r="CR27" s="471"/>
      <c r="CS27" s="471"/>
      <c r="CT27" s="244"/>
      <c r="CU27" s="226"/>
      <c r="CV27" s="244"/>
      <c r="CW27" s="212"/>
    </row>
    <row r="28" spans="1:101" ht="15.6" x14ac:dyDescent="0.3">
      <c r="A28" s="157"/>
      <c r="B28" s="472" t="s">
        <v>365</v>
      </c>
      <c r="C28" s="747"/>
      <c r="D28" s="747" t="s">
        <v>374</v>
      </c>
      <c r="E28" s="747" t="s">
        <v>253</v>
      </c>
      <c r="F28" s="747"/>
      <c r="G28" s="747" t="s">
        <v>282</v>
      </c>
      <c r="H28" s="747"/>
      <c r="I28" s="771" t="s">
        <v>98</v>
      </c>
      <c r="J28" s="771" t="s">
        <v>19</v>
      </c>
      <c r="K28" s="771"/>
      <c r="L28" s="771"/>
      <c r="M28" s="771"/>
      <c r="N28" s="773"/>
      <c r="O28" s="773"/>
      <c r="P28" s="474"/>
      <c r="Q28" s="475"/>
      <c r="R28" s="474"/>
      <c r="S28" s="809"/>
      <c r="T28" s="331"/>
      <c r="U28" s="809"/>
      <c r="V28" s="183"/>
      <c r="W28" s="183"/>
      <c r="X28" s="809"/>
      <c r="Y28" s="183"/>
      <c r="Z28" s="811"/>
      <c r="AA28" s="811" t="s">
        <v>186</v>
      </c>
      <c r="AB28" s="811"/>
      <c r="AC28" s="811"/>
      <c r="AD28" s="465" t="s">
        <v>365</v>
      </c>
      <c r="AE28" s="465" t="s">
        <v>527</v>
      </c>
      <c r="AF28" s="465"/>
      <c r="AG28" s="829">
        <v>0.2</v>
      </c>
      <c r="AH28" s="483">
        <v>0.2</v>
      </c>
      <c r="AI28" s="483">
        <v>0.2</v>
      </c>
      <c r="AJ28" s="483">
        <v>0.2</v>
      </c>
      <c r="AK28" s="483">
        <v>0.2</v>
      </c>
      <c r="AL28" s="483">
        <v>0.2</v>
      </c>
      <c r="AM28" s="483">
        <v>0.2</v>
      </c>
      <c r="AN28" s="483">
        <v>0.2</v>
      </c>
      <c r="AO28" s="483">
        <v>0.2</v>
      </c>
      <c r="AP28" s="483">
        <v>0.5</v>
      </c>
      <c r="AQ28" s="467"/>
      <c r="AR28" s="467"/>
      <c r="AS28" s="467"/>
      <c r="AT28" s="467">
        <v>0.5</v>
      </c>
      <c r="AU28" s="467"/>
      <c r="AV28" s="467"/>
      <c r="AW28" s="467"/>
      <c r="AX28" s="735"/>
      <c r="AY28" s="480"/>
      <c r="AZ28" s="605">
        <v>11</v>
      </c>
      <c r="BA28" s="468"/>
      <c r="BB28" s="770"/>
      <c r="BC28" s="763"/>
      <c r="BD28" s="763"/>
      <c r="BE28" s="763"/>
      <c r="BF28" s="770"/>
      <c r="BG28" s="770"/>
      <c r="BH28" s="762"/>
      <c r="BI28" s="762"/>
      <c r="BJ28" s="762"/>
      <c r="BK28" s="763"/>
      <c r="BL28" s="822"/>
      <c r="BM28" s="237"/>
      <c r="BN28" s="464"/>
      <c r="BO28" s="464"/>
      <c r="BP28" s="226"/>
      <c r="BQ28" s="464"/>
      <c r="BR28" s="464"/>
      <c r="BS28" s="464"/>
      <c r="BT28" s="238"/>
      <c r="BU28" s="464"/>
      <c r="BV28" s="464"/>
      <c r="BW28" s="464"/>
      <c r="BX28" s="226"/>
      <c r="BY28" s="208"/>
      <c r="BZ28" s="464"/>
      <c r="CA28" s="464"/>
      <c r="CB28" s="239"/>
      <c r="CC28" s="464"/>
      <c r="CD28" s="464"/>
      <c r="CE28" s="239"/>
      <c r="CF28" s="464"/>
      <c r="CG28" s="239"/>
      <c r="CH28" s="464"/>
      <c r="CI28" s="240"/>
      <c r="CJ28" s="747"/>
      <c r="CK28" s="208"/>
      <c r="CL28" s="469"/>
      <c r="CM28" s="464"/>
      <c r="CN28" s="470"/>
      <c r="CO28" s="471"/>
      <c r="CP28" s="471"/>
      <c r="CQ28" s="470"/>
      <c r="CR28" s="471"/>
      <c r="CS28" s="471"/>
      <c r="CT28" s="244"/>
      <c r="CU28" s="226"/>
      <c r="CV28" s="244"/>
      <c r="CW28" s="212"/>
    </row>
    <row r="29" spans="1:101" ht="15.6" x14ac:dyDescent="0.3">
      <c r="A29" s="157"/>
      <c r="B29" s="472" t="s">
        <v>366</v>
      </c>
      <c r="C29" s="747"/>
      <c r="D29" s="747" t="s">
        <v>375</v>
      </c>
      <c r="E29" s="747" t="s">
        <v>253</v>
      </c>
      <c r="F29" s="747"/>
      <c r="G29" s="747" t="s">
        <v>282</v>
      </c>
      <c r="H29" s="747"/>
      <c r="I29" s="771" t="s">
        <v>98</v>
      </c>
      <c r="J29" s="771" t="s">
        <v>19</v>
      </c>
      <c r="K29" s="771"/>
      <c r="L29" s="771"/>
      <c r="M29" s="771"/>
      <c r="N29" s="773"/>
      <c r="O29" s="773"/>
      <c r="P29" s="474"/>
      <c r="Q29" s="475"/>
      <c r="R29" s="474"/>
      <c r="S29" s="809"/>
      <c r="T29" s="331"/>
      <c r="U29" s="809"/>
      <c r="V29" s="183"/>
      <c r="W29" s="183"/>
      <c r="X29" s="809"/>
      <c r="Y29" s="183"/>
      <c r="Z29" s="811"/>
      <c r="AA29" s="811" t="s">
        <v>186</v>
      </c>
      <c r="AB29" s="811"/>
      <c r="AC29" s="811"/>
      <c r="AD29" s="465" t="s">
        <v>366</v>
      </c>
      <c r="AE29" s="465" t="s">
        <v>528</v>
      </c>
      <c r="AF29" s="465"/>
      <c r="AG29" s="829">
        <v>0.2</v>
      </c>
      <c r="AH29" s="483">
        <v>0.2</v>
      </c>
      <c r="AI29" s="483">
        <v>0.2</v>
      </c>
      <c r="AJ29" s="483">
        <v>0.2</v>
      </c>
      <c r="AK29" s="483">
        <v>0.2</v>
      </c>
      <c r="AL29" s="483">
        <v>0.2</v>
      </c>
      <c r="AM29" s="483">
        <v>0.2</v>
      </c>
      <c r="AN29" s="483">
        <v>0.2</v>
      </c>
      <c r="AO29" s="483">
        <v>0.2</v>
      </c>
      <c r="AP29" s="483">
        <v>0.5</v>
      </c>
      <c r="AQ29" s="467"/>
      <c r="AR29" s="467"/>
      <c r="AS29" s="467"/>
      <c r="AT29" s="467">
        <v>0.5</v>
      </c>
      <c r="AU29" s="467"/>
      <c r="AV29" s="467"/>
      <c r="AW29" s="467"/>
      <c r="AX29" s="735"/>
      <c r="AY29" s="480"/>
      <c r="AZ29" s="605">
        <v>12</v>
      </c>
      <c r="BA29" s="468"/>
      <c r="BB29" s="770"/>
      <c r="BC29" s="763"/>
      <c r="BD29" s="763"/>
      <c r="BE29" s="763"/>
      <c r="BF29" s="770"/>
      <c r="BG29" s="770"/>
      <c r="BH29" s="762"/>
      <c r="BI29" s="762"/>
      <c r="BJ29" s="762"/>
      <c r="BK29" s="763"/>
      <c r="BL29" s="822"/>
      <c r="BM29" s="237"/>
      <c r="BN29" s="464"/>
      <c r="BO29" s="464"/>
      <c r="BP29" s="226"/>
      <c r="BQ29" s="464"/>
      <c r="BR29" s="464"/>
      <c r="BS29" s="464"/>
      <c r="BT29" s="238"/>
      <c r="BU29" s="464"/>
      <c r="BV29" s="464"/>
      <c r="BW29" s="464"/>
      <c r="BX29" s="226"/>
      <c r="BY29" s="208"/>
      <c r="BZ29" s="464"/>
      <c r="CA29" s="464"/>
      <c r="CB29" s="239"/>
      <c r="CC29" s="464"/>
      <c r="CD29" s="464"/>
      <c r="CE29" s="239"/>
      <c r="CF29" s="464"/>
      <c r="CG29" s="239"/>
      <c r="CH29" s="464"/>
      <c r="CI29" s="240"/>
      <c r="CJ29" s="747"/>
      <c r="CK29" s="208"/>
      <c r="CL29" s="469"/>
      <c r="CM29" s="464"/>
      <c r="CN29" s="470"/>
      <c r="CO29" s="471"/>
      <c r="CP29" s="471"/>
      <c r="CQ29" s="470"/>
      <c r="CR29" s="471"/>
      <c r="CS29" s="471"/>
      <c r="CT29" s="244"/>
      <c r="CU29" s="226"/>
      <c r="CV29" s="244"/>
      <c r="CW29" s="212"/>
    </row>
    <row r="30" spans="1:101" ht="30" customHeight="1" x14ac:dyDescent="0.3">
      <c r="A30" s="156"/>
      <c r="B30" s="1252" t="s">
        <v>367</v>
      </c>
      <c r="C30" s="1253" t="s">
        <v>233</v>
      </c>
      <c r="D30" s="1253" t="s">
        <v>24</v>
      </c>
      <c r="E30" s="1253" t="s">
        <v>234</v>
      </c>
      <c r="F30" s="1253" t="s">
        <v>183</v>
      </c>
      <c r="G30" s="1253" t="s">
        <v>235</v>
      </c>
      <c r="H30" s="1253"/>
      <c r="I30" s="1236" t="s">
        <v>236</v>
      </c>
      <c r="J30" s="1236" t="s">
        <v>236</v>
      </c>
      <c r="K30" s="1236" t="s">
        <v>237</v>
      </c>
      <c r="L30" s="1257" t="s">
        <v>238</v>
      </c>
      <c r="M30" s="1236" t="s">
        <v>239</v>
      </c>
      <c r="N30" s="1236"/>
      <c r="O30" s="1236" t="s">
        <v>240</v>
      </c>
      <c r="P30" s="1236" t="s">
        <v>241</v>
      </c>
      <c r="Q30" s="245"/>
      <c r="R30" s="246"/>
      <c r="S30" s="1254"/>
      <c r="T30" s="1255"/>
      <c r="U30" s="1289" t="s">
        <v>242</v>
      </c>
      <c r="V30" s="1289" t="s">
        <v>33</v>
      </c>
      <c r="W30" s="811"/>
      <c r="X30" s="1289" t="s">
        <v>242</v>
      </c>
      <c r="Y30" s="1289" t="s">
        <v>33</v>
      </c>
      <c r="Z30" s="247" t="s">
        <v>186</v>
      </c>
      <c r="AA30" s="248"/>
      <c r="AB30" s="248"/>
      <c r="AC30" s="248"/>
      <c r="AD30" s="249" t="s">
        <v>243</v>
      </c>
      <c r="AE30" s="610"/>
      <c r="AF30" s="610"/>
      <c r="AG30" s="252">
        <v>5.2</v>
      </c>
      <c r="AH30" s="252">
        <v>5.2</v>
      </c>
      <c r="AI30" s="250">
        <v>5.1849999999999996</v>
      </c>
      <c r="AJ30" s="252">
        <v>5.1849999999999996</v>
      </c>
      <c r="AK30" s="252">
        <f t="shared" ref="AK30:AL33" si="0">AI30</f>
        <v>5.1849999999999996</v>
      </c>
      <c r="AL30" s="252">
        <f t="shared" si="0"/>
        <v>5.1849999999999996</v>
      </c>
      <c r="AM30" s="252">
        <v>5.1849999999999996</v>
      </c>
      <c r="AN30" s="252" t="e">
        <f>#REF!</f>
        <v>#REF!</v>
      </c>
      <c r="AO30" s="252">
        <v>5.2</v>
      </c>
      <c r="AP30" s="252">
        <f>AL30</f>
        <v>5.1849999999999996</v>
      </c>
      <c r="AQ30" s="253"/>
      <c r="AR30" s="253"/>
      <c r="AS30" s="253"/>
      <c r="AT30" s="250">
        <v>4.6870000000000003</v>
      </c>
      <c r="AU30" s="251">
        <v>4.6870000000000003</v>
      </c>
      <c r="AV30" s="251">
        <v>4.6870000000000003</v>
      </c>
      <c r="AW30" s="251">
        <v>4.6870000000000003</v>
      </c>
      <c r="AX30" s="682"/>
      <c r="AY30" s="252">
        <v>4.6870000000000003</v>
      </c>
      <c r="AZ30" s="605">
        <v>13</v>
      </c>
      <c r="BA30" s="1248" t="s">
        <v>244</v>
      </c>
      <c r="BB30" s="250">
        <v>0</v>
      </c>
      <c r="BC30" s="252">
        <v>0</v>
      </c>
      <c r="BD30" s="252">
        <v>0</v>
      </c>
      <c r="BE30" s="252">
        <v>0</v>
      </c>
      <c r="BF30" s="250">
        <v>0</v>
      </c>
      <c r="BG30" s="250">
        <v>0</v>
      </c>
      <c r="BH30" s="251">
        <v>0</v>
      </c>
      <c r="BI30" s="251">
        <v>0</v>
      </c>
      <c r="BJ30" s="251">
        <v>0</v>
      </c>
      <c r="BK30" s="252">
        <v>0</v>
      </c>
      <c r="BL30" s="822"/>
      <c r="BM30" s="205" t="s">
        <v>23</v>
      </c>
      <c r="BN30" s="1236" t="s">
        <v>23</v>
      </c>
      <c r="BO30" s="1236" t="s">
        <v>23</v>
      </c>
      <c r="BP30" s="205" t="s">
        <v>23</v>
      </c>
      <c r="BQ30" s="1236" t="s">
        <v>23</v>
      </c>
      <c r="BR30" s="1286" t="s">
        <v>42</v>
      </c>
      <c r="BS30" s="1286" t="s">
        <v>42</v>
      </c>
      <c r="BT30" s="795"/>
      <c r="BU30" s="1236" t="s">
        <v>23</v>
      </c>
      <c r="BV30" s="1236" t="s">
        <v>23</v>
      </c>
      <c r="BW30" s="1236" t="s">
        <v>23</v>
      </c>
      <c r="BX30" s="1277" t="s">
        <v>42</v>
      </c>
      <c r="BY30" s="206"/>
      <c r="BZ30" s="1263" t="s">
        <v>245</v>
      </c>
      <c r="CA30" s="1263" t="s">
        <v>245</v>
      </c>
      <c r="CB30" s="207"/>
      <c r="CC30" s="1263" t="s">
        <v>245</v>
      </c>
      <c r="CD30" s="1263" t="s">
        <v>245</v>
      </c>
      <c r="CE30" s="207"/>
      <c r="CF30" s="1263" t="s">
        <v>245</v>
      </c>
      <c r="CG30" s="207"/>
      <c r="CH30" s="1263" t="s">
        <v>245</v>
      </c>
      <c r="CI30" s="207"/>
      <c r="CJ30" s="254" t="s">
        <v>245</v>
      </c>
      <c r="CK30" s="208"/>
      <c r="CL30" s="1266" t="s">
        <v>246</v>
      </c>
      <c r="CM30" s="1269" t="s">
        <v>247</v>
      </c>
      <c r="CN30" s="1272"/>
      <c r="CO30" s="1272"/>
      <c r="CP30" s="1272"/>
      <c r="CQ30" s="1275">
        <v>2.6</v>
      </c>
      <c r="CR30" s="1260">
        <v>0</v>
      </c>
      <c r="CS30" s="1260" t="s">
        <v>248</v>
      </c>
      <c r="CT30" s="212"/>
      <c r="CU30" s="222" t="s">
        <v>249</v>
      </c>
      <c r="CV30" s="212"/>
      <c r="CW30" s="212"/>
    </row>
    <row r="31" spans="1:101" ht="18" customHeight="1" x14ac:dyDescent="0.3">
      <c r="A31" s="156"/>
      <c r="B31" s="1252"/>
      <c r="C31" s="1253"/>
      <c r="D31" s="1253"/>
      <c r="E31" s="1253"/>
      <c r="F31" s="1253"/>
      <c r="G31" s="1253"/>
      <c r="H31" s="1253"/>
      <c r="I31" s="1237"/>
      <c r="J31" s="1237"/>
      <c r="K31" s="1237"/>
      <c r="L31" s="1258"/>
      <c r="M31" s="1237"/>
      <c r="N31" s="1237"/>
      <c r="O31" s="1237"/>
      <c r="P31" s="1237"/>
      <c r="Q31" s="255"/>
      <c r="R31" s="256" t="s">
        <v>250</v>
      </c>
      <c r="S31" s="1254"/>
      <c r="T31" s="1256"/>
      <c r="U31" s="1289"/>
      <c r="V31" s="1289"/>
      <c r="W31" s="811"/>
      <c r="X31" s="1289"/>
      <c r="Y31" s="1289"/>
      <c r="Z31" s="257"/>
      <c r="AA31" s="784" t="s">
        <v>186</v>
      </c>
      <c r="AB31" s="784"/>
      <c r="AC31" s="784"/>
      <c r="AD31" s="258" t="s">
        <v>251</v>
      </c>
      <c r="AE31" s="611"/>
      <c r="AF31" s="611"/>
      <c r="AG31" s="261">
        <v>7.9000000000000001E-2</v>
      </c>
      <c r="AH31" s="261">
        <v>7.9000000000000001E-2</v>
      </c>
      <c r="AI31" s="259">
        <v>7.9000000000000001E-2</v>
      </c>
      <c r="AJ31" s="261">
        <v>7.9000000000000001E-2</v>
      </c>
      <c r="AK31" s="261">
        <f t="shared" si="0"/>
        <v>7.9000000000000001E-2</v>
      </c>
      <c r="AL31" s="261">
        <f t="shared" si="0"/>
        <v>7.9000000000000001E-2</v>
      </c>
      <c r="AM31" s="261">
        <v>7.9000000000000001E-2</v>
      </c>
      <c r="AN31" s="261" t="e">
        <f>#REF!</f>
        <v>#REF!</v>
      </c>
      <c r="AO31" s="261">
        <v>7.9000000000000001E-2</v>
      </c>
      <c r="AP31" s="261">
        <f>AL31</f>
        <v>7.9000000000000001E-2</v>
      </c>
      <c r="AQ31" s="262"/>
      <c r="AR31" s="262"/>
      <c r="AS31" s="262"/>
      <c r="AT31" s="262" t="s">
        <v>187</v>
      </c>
      <c r="AU31" s="263" t="s">
        <v>187</v>
      </c>
      <c r="AV31" s="263" t="s">
        <v>187</v>
      </c>
      <c r="AW31" s="263" t="s">
        <v>187</v>
      </c>
      <c r="AX31" s="831"/>
      <c r="AY31" s="264" t="s">
        <v>187</v>
      </c>
      <c r="AZ31" s="605">
        <v>14</v>
      </c>
      <c r="BA31" s="1290"/>
      <c r="BB31" s="259"/>
      <c r="BC31" s="261"/>
      <c r="BD31" s="261"/>
      <c r="BE31" s="261"/>
      <c r="BF31" s="259"/>
      <c r="BG31" s="259"/>
      <c r="BH31" s="260"/>
      <c r="BI31" s="260"/>
      <c r="BJ31" s="260"/>
      <c r="BK31" s="261"/>
      <c r="BL31" s="822"/>
      <c r="BM31" s="205"/>
      <c r="BN31" s="1237"/>
      <c r="BO31" s="1237"/>
      <c r="BP31" s="205"/>
      <c r="BQ31" s="1237"/>
      <c r="BR31" s="1287"/>
      <c r="BS31" s="1287"/>
      <c r="BT31" s="795"/>
      <c r="BU31" s="1237"/>
      <c r="BV31" s="1237"/>
      <c r="BW31" s="1237"/>
      <c r="BX31" s="1277"/>
      <c r="BY31" s="206"/>
      <c r="BZ31" s="1264"/>
      <c r="CA31" s="1264"/>
      <c r="CB31" s="207"/>
      <c r="CC31" s="1264"/>
      <c r="CD31" s="1264"/>
      <c r="CE31" s="207"/>
      <c r="CF31" s="1264"/>
      <c r="CG31" s="207"/>
      <c r="CH31" s="1264"/>
      <c r="CI31" s="207"/>
      <c r="CJ31" s="799"/>
      <c r="CK31" s="208"/>
      <c r="CL31" s="1267"/>
      <c r="CM31" s="1270"/>
      <c r="CN31" s="1273"/>
      <c r="CO31" s="1273"/>
      <c r="CP31" s="1273"/>
      <c r="CQ31" s="1276"/>
      <c r="CR31" s="1261"/>
      <c r="CS31" s="1261"/>
      <c r="CT31" s="212"/>
      <c r="CU31" s="222"/>
      <c r="CV31" s="212"/>
      <c r="CW31" s="212"/>
    </row>
    <row r="32" spans="1:101" ht="25.5" customHeight="1" x14ac:dyDescent="0.3">
      <c r="A32" s="156"/>
      <c r="B32" s="1252"/>
      <c r="C32" s="1253" t="s">
        <v>252</v>
      </c>
      <c r="D32" s="1253" t="s">
        <v>253</v>
      </c>
      <c r="E32" s="1253" t="s">
        <v>253</v>
      </c>
      <c r="F32" s="1253" t="s">
        <v>253</v>
      </c>
      <c r="G32" s="1253" t="s">
        <v>254</v>
      </c>
      <c r="H32" s="1253"/>
      <c r="I32" s="1237"/>
      <c r="J32" s="1237"/>
      <c r="K32" s="1237"/>
      <c r="L32" s="1258"/>
      <c r="M32" s="1237"/>
      <c r="N32" s="1237"/>
      <c r="O32" s="1237"/>
      <c r="P32" s="1237"/>
      <c r="Q32" s="255"/>
      <c r="R32" s="256"/>
      <c r="S32" s="265"/>
      <c r="T32" s="266"/>
      <c r="U32" s="265"/>
      <c r="V32" s="267"/>
      <c r="W32" s="267"/>
      <c r="X32" s="265"/>
      <c r="Y32" s="267"/>
      <c r="Z32" s="783" t="s">
        <v>186</v>
      </c>
      <c r="AA32" s="783"/>
      <c r="AB32" s="783"/>
      <c r="AC32" s="783"/>
      <c r="AD32" s="258" t="s">
        <v>255</v>
      </c>
      <c r="AE32" s="611"/>
      <c r="AF32" s="611"/>
      <c r="AG32" s="269">
        <v>5.7473684210526326</v>
      </c>
      <c r="AH32" s="269">
        <f t="shared" ref="AH32:AH33" si="1">AH30*(1.05/0.95)</f>
        <v>5.7473684210526326</v>
      </c>
      <c r="AI32" s="268">
        <v>5.7307894736842107</v>
      </c>
      <c r="AJ32" s="269">
        <v>5.7307894736842107</v>
      </c>
      <c r="AK32" s="269">
        <f t="shared" si="0"/>
        <v>5.7307894736842107</v>
      </c>
      <c r="AL32" s="269">
        <f t="shared" si="0"/>
        <v>5.7307894736842107</v>
      </c>
      <c r="AM32" s="269">
        <v>5.7307894736842107</v>
      </c>
      <c r="AN32" s="269" t="e">
        <f>#REF!</f>
        <v>#REF!</v>
      </c>
      <c r="AO32" s="269">
        <f t="shared" ref="AO32:AO33" si="2">AO30*(1.05/0.95)</f>
        <v>5.7473684210526326</v>
      </c>
      <c r="AP32" s="269">
        <f>AL32</f>
        <v>5.7307894736842107</v>
      </c>
      <c r="AQ32" s="253"/>
      <c r="AR32" s="253"/>
      <c r="AS32" s="253"/>
      <c r="AT32" s="253">
        <v>4.3840000000000003</v>
      </c>
      <c r="AU32" s="270">
        <v>4.3840000000000003</v>
      </c>
      <c r="AV32" s="270">
        <v>4.3840000000000003</v>
      </c>
      <c r="AW32" s="270">
        <v>4.3840000000000003</v>
      </c>
      <c r="AX32" s="832"/>
      <c r="AY32" s="271">
        <v>4.3840000000000003</v>
      </c>
      <c r="AZ32" s="605">
        <v>15</v>
      </c>
      <c r="BA32" s="1290"/>
      <c r="BB32" s="769"/>
      <c r="BC32" s="767"/>
      <c r="BD32" s="767"/>
      <c r="BE32" s="767"/>
      <c r="BF32" s="769"/>
      <c r="BG32" s="769"/>
      <c r="BH32" s="272"/>
      <c r="BI32" s="272"/>
      <c r="BJ32" s="272"/>
      <c r="BK32" s="767"/>
      <c r="BL32" s="822"/>
      <c r="BM32" s="205"/>
      <c r="BN32" s="1237"/>
      <c r="BO32" s="1237"/>
      <c r="BP32" s="205"/>
      <c r="BQ32" s="1237"/>
      <c r="BR32" s="1287"/>
      <c r="BS32" s="1287"/>
      <c r="BT32" s="795"/>
      <c r="BU32" s="1237"/>
      <c r="BV32" s="1237"/>
      <c r="BW32" s="1237"/>
      <c r="BX32" s="1277"/>
      <c r="BY32" s="206"/>
      <c r="BZ32" s="1264"/>
      <c r="CA32" s="1264"/>
      <c r="CB32" s="207"/>
      <c r="CC32" s="1264"/>
      <c r="CD32" s="1264"/>
      <c r="CE32" s="207"/>
      <c r="CF32" s="1264"/>
      <c r="CG32" s="207"/>
      <c r="CH32" s="1264"/>
      <c r="CI32" s="207"/>
      <c r="CJ32" s="799"/>
      <c r="CK32" s="208"/>
      <c r="CL32" s="1267"/>
      <c r="CM32" s="1270"/>
      <c r="CN32" s="1273"/>
      <c r="CO32" s="1273"/>
      <c r="CP32" s="1273"/>
      <c r="CQ32" s="1276"/>
      <c r="CR32" s="1261"/>
      <c r="CS32" s="1261"/>
      <c r="CT32" s="212"/>
      <c r="CU32" s="222"/>
      <c r="CV32" s="212"/>
      <c r="CW32" s="212"/>
    </row>
    <row r="33" spans="1:101" ht="15.9" customHeight="1" x14ac:dyDescent="0.3">
      <c r="A33" s="156"/>
      <c r="B33" s="1252"/>
      <c r="C33" s="1253"/>
      <c r="D33" s="1253"/>
      <c r="E33" s="1253"/>
      <c r="F33" s="1253"/>
      <c r="G33" s="1253"/>
      <c r="H33" s="1253"/>
      <c r="I33" s="1239"/>
      <c r="J33" s="1239"/>
      <c r="K33" s="1239"/>
      <c r="L33" s="1259"/>
      <c r="M33" s="1239"/>
      <c r="N33" s="1239"/>
      <c r="O33" s="1239"/>
      <c r="P33" s="1239"/>
      <c r="Q33" s="255"/>
      <c r="R33" s="273" t="s">
        <v>250</v>
      </c>
      <c r="S33" s="274"/>
      <c r="T33" s="275"/>
      <c r="U33" s="274"/>
      <c r="V33" s="276"/>
      <c r="W33" s="276"/>
      <c r="X33" s="274"/>
      <c r="Y33" s="276"/>
      <c r="Z33" s="277"/>
      <c r="AA33" s="277" t="s">
        <v>186</v>
      </c>
      <c r="AB33" s="277"/>
      <c r="AC33" s="277"/>
      <c r="AD33" s="278" t="s">
        <v>256</v>
      </c>
      <c r="AE33" s="612"/>
      <c r="AF33" s="612"/>
      <c r="AG33" s="280">
        <v>8.7315789473684222E-2</v>
      </c>
      <c r="AH33" s="280">
        <f t="shared" si="1"/>
        <v>8.7315789473684222E-2</v>
      </c>
      <c r="AI33" s="279">
        <v>8.7315789473684222E-2</v>
      </c>
      <c r="AJ33" s="280">
        <v>8.7315789473684222E-2</v>
      </c>
      <c r="AK33" s="280">
        <f t="shared" si="0"/>
        <v>8.7315789473684222E-2</v>
      </c>
      <c r="AL33" s="280">
        <f t="shared" si="0"/>
        <v>8.7315789473684222E-2</v>
      </c>
      <c r="AM33" s="280">
        <v>8.7315789473684222E-2</v>
      </c>
      <c r="AN33" s="280" t="e">
        <f>#REF!</f>
        <v>#REF!</v>
      </c>
      <c r="AO33" s="280">
        <f t="shared" si="2"/>
        <v>8.7315789473684222E-2</v>
      </c>
      <c r="AP33" s="280">
        <f>AL33</f>
        <v>8.7315789473684222E-2</v>
      </c>
      <c r="AQ33" s="262"/>
      <c r="AR33" s="262"/>
      <c r="AS33" s="262"/>
      <c r="AT33" s="262" t="s">
        <v>187</v>
      </c>
      <c r="AU33" s="263" t="s">
        <v>187</v>
      </c>
      <c r="AV33" s="263" t="s">
        <v>187</v>
      </c>
      <c r="AW33" s="263" t="s">
        <v>187</v>
      </c>
      <c r="AX33" s="831"/>
      <c r="AY33" s="264" t="s">
        <v>187</v>
      </c>
      <c r="AZ33" s="605">
        <v>16</v>
      </c>
      <c r="BA33" s="1249"/>
      <c r="BB33" s="259">
        <v>0</v>
      </c>
      <c r="BC33" s="261">
        <v>0</v>
      </c>
      <c r="BD33" s="261">
        <v>0</v>
      </c>
      <c r="BE33" s="261">
        <v>0</v>
      </c>
      <c r="BF33" s="262" t="s">
        <v>187</v>
      </c>
      <c r="BG33" s="262" t="s">
        <v>187</v>
      </c>
      <c r="BH33" s="263" t="s">
        <v>187</v>
      </c>
      <c r="BI33" s="263" t="s">
        <v>187</v>
      </c>
      <c r="BJ33" s="263" t="s">
        <v>187</v>
      </c>
      <c r="BK33" s="264" t="s">
        <v>187</v>
      </c>
      <c r="BL33" s="822"/>
      <c r="BM33" s="205"/>
      <c r="BN33" s="1239"/>
      <c r="BO33" s="1239"/>
      <c r="BP33" s="205"/>
      <c r="BQ33" s="1239"/>
      <c r="BR33" s="1287"/>
      <c r="BS33" s="1287"/>
      <c r="BT33" s="795"/>
      <c r="BU33" s="1239"/>
      <c r="BV33" s="1239"/>
      <c r="BW33" s="1239"/>
      <c r="BX33" s="1277"/>
      <c r="BY33" s="206"/>
      <c r="BZ33" s="1265"/>
      <c r="CA33" s="1265"/>
      <c r="CB33" s="207"/>
      <c r="CC33" s="1265"/>
      <c r="CD33" s="1265"/>
      <c r="CE33" s="207"/>
      <c r="CF33" s="1265"/>
      <c r="CG33" s="207"/>
      <c r="CH33" s="1265"/>
      <c r="CI33" s="207"/>
      <c r="CJ33" s="799"/>
      <c r="CK33" s="208"/>
      <c r="CL33" s="1268"/>
      <c r="CM33" s="1270"/>
      <c r="CN33" s="1274"/>
      <c r="CO33" s="1274"/>
      <c r="CP33" s="1274"/>
      <c r="CQ33" s="1285"/>
      <c r="CR33" s="1262"/>
      <c r="CS33" s="1262"/>
      <c r="CT33" s="212"/>
      <c r="CU33" s="222"/>
      <c r="CV33" s="212"/>
      <c r="CW33" s="212"/>
    </row>
    <row r="34" spans="1:101" ht="15.9" customHeight="1" x14ac:dyDescent="0.3">
      <c r="A34" s="156"/>
      <c r="B34" s="792"/>
      <c r="C34" s="782"/>
      <c r="D34" s="793"/>
      <c r="E34" s="782"/>
      <c r="F34" s="782"/>
      <c r="G34" s="782"/>
      <c r="H34" s="782"/>
      <c r="I34" s="783"/>
      <c r="J34" s="783"/>
      <c r="K34" s="783"/>
      <c r="L34" s="814"/>
      <c r="M34" s="783"/>
      <c r="N34" s="783"/>
      <c r="O34" s="783"/>
      <c r="P34" s="783"/>
      <c r="Q34" s="255"/>
      <c r="R34" s="256"/>
      <c r="S34" s="265"/>
      <c r="T34" s="266"/>
      <c r="U34" s="265"/>
      <c r="V34" s="267"/>
      <c r="W34" s="267"/>
      <c r="X34" s="265"/>
      <c r="Y34" s="267"/>
      <c r="Z34" s="783"/>
      <c r="AA34" s="783"/>
      <c r="AB34" s="783"/>
      <c r="AC34" s="783"/>
      <c r="AD34" s="258" t="s">
        <v>466</v>
      </c>
      <c r="AE34" s="611" t="s">
        <v>520</v>
      </c>
      <c r="AF34" s="611"/>
      <c r="AG34" s="833" t="s">
        <v>196</v>
      </c>
      <c r="AH34" s="833" t="s">
        <v>196</v>
      </c>
      <c r="AI34" s="833" t="s">
        <v>196</v>
      </c>
      <c r="AJ34" s="833" t="s">
        <v>196</v>
      </c>
      <c r="AK34" s="833" t="s">
        <v>196</v>
      </c>
      <c r="AL34" s="833" t="s">
        <v>196</v>
      </c>
      <c r="AM34" s="833" t="s">
        <v>196</v>
      </c>
      <c r="AN34" s="833" t="s">
        <v>196</v>
      </c>
      <c r="AO34" s="833" t="s">
        <v>196</v>
      </c>
      <c r="AP34" s="833" t="s">
        <v>196</v>
      </c>
      <c r="AQ34" s="834"/>
      <c r="AR34" s="834"/>
      <c r="AS34" s="834"/>
      <c r="AT34" s="834"/>
      <c r="AU34" s="835"/>
      <c r="AV34" s="835"/>
      <c r="AW34" s="835"/>
      <c r="AX34" s="836"/>
      <c r="AY34" s="837"/>
      <c r="AZ34" s="605"/>
      <c r="BA34" s="833"/>
      <c r="BB34" s="769"/>
      <c r="BC34" s="767"/>
      <c r="BD34" s="767"/>
      <c r="BE34" s="767"/>
      <c r="BF34" s="834"/>
      <c r="BG34" s="834"/>
      <c r="BH34" s="835"/>
      <c r="BI34" s="835"/>
      <c r="BJ34" s="835"/>
      <c r="BK34" s="837"/>
      <c r="BL34" s="822"/>
      <c r="BM34" s="205"/>
      <c r="BN34" s="783"/>
      <c r="BO34" s="783"/>
      <c r="BP34" s="205"/>
      <c r="BQ34" s="783"/>
      <c r="BR34" s="1287"/>
      <c r="BS34" s="1287"/>
      <c r="BT34" s="795"/>
      <c r="BU34" s="783"/>
      <c r="BV34" s="783"/>
      <c r="BW34" s="783"/>
      <c r="BX34" s="1277"/>
      <c r="BY34" s="206"/>
      <c r="BZ34" s="800"/>
      <c r="CA34" s="800"/>
      <c r="CB34" s="207"/>
      <c r="CC34" s="800"/>
      <c r="CD34" s="800"/>
      <c r="CE34" s="207"/>
      <c r="CF34" s="800"/>
      <c r="CG34" s="207"/>
      <c r="CH34" s="800"/>
      <c r="CI34" s="207"/>
      <c r="CJ34" s="799"/>
      <c r="CK34" s="208"/>
      <c r="CL34" s="789"/>
      <c r="CM34" s="1270"/>
      <c r="CN34" s="804"/>
      <c r="CO34" s="804"/>
      <c r="CP34" s="804"/>
      <c r="CQ34" s="758"/>
      <c r="CR34" s="749"/>
      <c r="CS34" s="749"/>
      <c r="CT34" s="212"/>
      <c r="CU34" s="222"/>
      <c r="CV34" s="212"/>
      <c r="CW34" s="212"/>
    </row>
    <row r="35" spans="1:101" ht="15.9" customHeight="1" x14ac:dyDescent="0.3">
      <c r="A35" s="156"/>
      <c r="B35" s="1281" t="s">
        <v>42</v>
      </c>
      <c r="C35" s="1236"/>
      <c r="D35" s="747" t="s">
        <v>253</v>
      </c>
      <c r="E35" s="1283" t="s">
        <v>253</v>
      </c>
      <c r="F35" s="1236" t="s">
        <v>257</v>
      </c>
      <c r="G35" s="1236" t="s">
        <v>258</v>
      </c>
      <c r="H35" s="282"/>
      <c r="I35" s="1236" t="s">
        <v>98</v>
      </c>
      <c r="J35" s="1236" t="s">
        <v>19</v>
      </c>
      <c r="K35" s="1236" t="s">
        <v>259</v>
      </c>
      <c r="L35" s="1236" t="s">
        <v>260</v>
      </c>
      <c r="M35" s="1236" t="s">
        <v>239</v>
      </c>
      <c r="N35" s="1236"/>
      <c r="O35" s="1236" t="s">
        <v>261</v>
      </c>
      <c r="P35" s="1236" t="s">
        <v>262</v>
      </c>
      <c r="Q35" s="1291"/>
      <c r="R35" s="283"/>
      <c r="S35" s="248" t="s">
        <v>439</v>
      </c>
      <c r="T35" s="284" t="s">
        <v>33</v>
      </c>
      <c r="U35" s="248" t="s">
        <v>439</v>
      </c>
      <c r="V35" s="284" t="s">
        <v>33</v>
      </c>
      <c r="W35" s="284" t="s">
        <v>439</v>
      </c>
      <c r="X35" s="248" t="s">
        <v>33</v>
      </c>
      <c r="Y35" s="284" t="s">
        <v>33</v>
      </c>
      <c r="Z35" s="248" t="s">
        <v>186</v>
      </c>
      <c r="AA35" s="285"/>
      <c r="AB35" s="248"/>
      <c r="AC35" s="248"/>
      <c r="AD35" s="286" t="s">
        <v>263</v>
      </c>
      <c r="AE35" s="613" t="s">
        <v>384</v>
      </c>
      <c r="AF35" s="613"/>
      <c r="AG35" s="502">
        <v>0.25</v>
      </c>
      <c r="AH35" s="502">
        <v>0.25</v>
      </c>
      <c r="AI35" s="502">
        <v>0.3</v>
      </c>
      <c r="AJ35" s="502">
        <v>0.3</v>
      </c>
      <c r="AK35" s="502">
        <v>0.3</v>
      </c>
      <c r="AL35" s="502">
        <v>0.3</v>
      </c>
      <c r="AM35" s="502">
        <v>0.3</v>
      </c>
      <c r="AN35" s="502">
        <v>0.3</v>
      </c>
      <c r="AO35" s="502">
        <v>0.25</v>
      </c>
      <c r="AP35" s="502">
        <v>0.3</v>
      </c>
      <c r="AQ35" s="253"/>
      <c r="AR35" s="253"/>
      <c r="AS35" s="253"/>
      <c r="AT35" s="250" t="s">
        <v>187</v>
      </c>
      <c r="AU35" s="250" t="s">
        <v>187</v>
      </c>
      <c r="AV35" s="250" t="s">
        <v>187</v>
      </c>
      <c r="AW35" s="250" t="s">
        <v>187</v>
      </c>
      <c r="AX35" s="250" t="s">
        <v>187</v>
      </c>
      <c r="AY35" s="250" t="s">
        <v>187</v>
      </c>
      <c r="AZ35" s="605">
        <v>17</v>
      </c>
      <c r="BA35" s="287">
        <v>0</v>
      </c>
      <c r="BB35" s="287">
        <v>0</v>
      </c>
      <c r="BC35" s="288">
        <v>0</v>
      </c>
      <c r="BD35" s="288">
        <v>0</v>
      </c>
      <c r="BE35" s="288">
        <v>0</v>
      </c>
      <c r="BF35" s="289"/>
      <c r="BG35" s="289"/>
      <c r="BH35" s="290"/>
      <c r="BI35" s="290"/>
      <c r="BJ35" s="290"/>
      <c r="BK35" s="291"/>
      <c r="BL35" s="822"/>
      <c r="BM35" s="205" t="s">
        <v>42</v>
      </c>
      <c r="BN35" s="1236" t="s">
        <v>42</v>
      </c>
      <c r="BO35" s="1236" t="s">
        <v>42</v>
      </c>
      <c r="BP35" s="205" t="s">
        <v>42</v>
      </c>
      <c r="BQ35" s="1236" t="s">
        <v>42</v>
      </c>
      <c r="BR35" s="1287"/>
      <c r="BS35" s="1287"/>
      <c r="BT35" s="795"/>
      <c r="BU35" s="1236" t="s">
        <v>42</v>
      </c>
      <c r="BV35" s="1236" t="s">
        <v>42</v>
      </c>
      <c r="BW35" s="1236" t="s">
        <v>42</v>
      </c>
      <c r="BX35" s="1277"/>
      <c r="BY35" s="206"/>
      <c r="BZ35" s="1278" t="s">
        <v>42</v>
      </c>
      <c r="CA35" s="1278" t="s">
        <v>42</v>
      </c>
      <c r="CB35" s="207"/>
      <c r="CC35" s="1278" t="s">
        <v>42</v>
      </c>
      <c r="CD35" s="1278" t="s">
        <v>42</v>
      </c>
      <c r="CE35" s="207"/>
      <c r="CF35" s="1278" t="s">
        <v>42</v>
      </c>
      <c r="CG35" s="207"/>
      <c r="CH35" s="1278" t="s">
        <v>42</v>
      </c>
      <c r="CI35" s="207"/>
      <c r="CJ35" s="1278" t="s">
        <v>42</v>
      </c>
      <c r="CK35" s="208"/>
      <c r="CL35" s="1266" t="s">
        <v>264</v>
      </c>
      <c r="CM35" s="1270"/>
      <c r="CN35" s="1275">
        <v>7.24</v>
      </c>
      <c r="CO35" s="1260">
        <v>2</v>
      </c>
      <c r="CP35" s="1295">
        <v>0.7</v>
      </c>
      <c r="CQ35" s="1275">
        <v>3.29</v>
      </c>
      <c r="CR35" s="1260">
        <v>2</v>
      </c>
      <c r="CS35" s="1260" t="s">
        <v>248</v>
      </c>
      <c r="CT35" s="212"/>
      <c r="CU35" s="793" t="s">
        <v>42</v>
      </c>
      <c r="CV35" s="793" t="s">
        <v>42</v>
      </c>
      <c r="CW35" s="212"/>
    </row>
    <row r="36" spans="1:101" ht="15.9" customHeight="1" x14ac:dyDescent="0.3">
      <c r="A36" s="156"/>
      <c r="B36" s="1282"/>
      <c r="C36" s="1237"/>
      <c r="D36" s="747" t="s">
        <v>253</v>
      </c>
      <c r="E36" s="1284"/>
      <c r="F36" s="1237"/>
      <c r="G36" s="1237"/>
      <c r="H36" s="292"/>
      <c r="I36" s="1237"/>
      <c r="J36" s="1237"/>
      <c r="K36" s="1237"/>
      <c r="L36" s="1237"/>
      <c r="M36" s="1237"/>
      <c r="N36" s="1237"/>
      <c r="O36" s="1237"/>
      <c r="P36" s="1237"/>
      <c r="Q36" s="1292"/>
      <c r="R36" s="293"/>
      <c r="S36" s="294" t="s">
        <v>33</v>
      </c>
      <c r="T36" s="294" t="s">
        <v>33</v>
      </c>
      <c r="U36" s="294" t="s">
        <v>33</v>
      </c>
      <c r="V36" s="294" t="s">
        <v>33</v>
      </c>
      <c r="W36" s="294" t="s">
        <v>33</v>
      </c>
      <c r="X36" s="294" t="s">
        <v>33</v>
      </c>
      <c r="Y36" s="294" t="s">
        <v>93</v>
      </c>
      <c r="Z36" s="294" t="s">
        <v>186</v>
      </c>
      <c r="AA36" s="294"/>
      <c r="AB36" s="294"/>
      <c r="AC36" s="294"/>
      <c r="AD36" s="295" t="s">
        <v>467</v>
      </c>
      <c r="AE36" s="614" t="s">
        <v>450</v>
      </c>
      <c r="AF36" s="614"/>
      <c r="AG36" s="494">
        <v>0.3</v>
      </c>
      <c r="AH36" s="494">
        <v>0.3</v>
      </c>
      <c r="AI36" s="494">
        <v>0.5</v>
      </c>
      <c r="AJ36" s="494">
        <v>0.5</v>
      </c>
      <c r="AK36" s="494">
        <v>0.5</v>
      </c>
      <c r="AL36" s="494">
        <v>0.5</v>
      </c>
      <c r="AM36" s="494">
        <v>0.5</v>
      </c>
      <c r="AN36" s="494">
        <v>0.5</v>
      </c>
      <c r="AO36" s="494">
        <v>0.3</v>
      </c>
      <c r="AP36" s="494">
        <v>1.2</v>
      </c>
      <c r="AQ36" s="298"/>
      <c r="AR36" s="298"/>
      <c r="AS36" s="298"/>
      <c r="AT36" s="296">
        <f>(0.15+0.079)</f>
        <v>0.22899999999999998</v>
      </c>
      <c r="AU36" s="838">
        <f>(0.15+0.079)</f>
        <v>0.22899999999999998</v>
      </c>
      <c r="AV36" s="838">
        <f>(0.15+0.079)</f>
        <v>0.22899999999999998</v>
      </c>
      <c r="AW36" s="838">
        <f>(0.15+0.079)</f>
        <v>0.22899999999999998</v>
      </c>
      <c r="AX36" s="683"/>
      <c r="AY36" s="297">
        <f>(0.15+0.079)</f>
        <v>0.22899999999999998</v>
      </c>
      <c r="AZ36" s="605">
        <v>18</v>
      </c>
      <c r="BA36" s="299">
        <v>0</v>
      </c>
      <c r="BB36" s="299">
        <v>0</v>
      </c>
      <c r="BC36" s="300">
        <v>0</v>
      </c>
      <c r="BD36" s="300">
        <v>0</v>
      </c>
      <c r="BE36" s="300">
        <v>0</v>
      </c>
      <c r="BF36" s="301"/>
      <c r="BG36" s="301"/>
      <c r="BH36" s="839"/>
      <c r="BI36" s="839"/>
      <c r="BJ36" s="839"/>
      <c r="BK36" s="840"/>
      <c r="BL36" s="822"/>
      <c r="BM36" s="205"/>
      <c r="BN36" s="1237"/>
      <c r="BO36" s="1237"/>
      <c r="BP36" s="205"/>
      <c r="BQ36" s="1237"/>
      <c r="BR36" s="1287"/>
      <c r="BS36" s="1287"/>
      <c r="BT36" s="795"/>
      <c r="BU36" s="1237"/>
      <c r="BV36" s="1237"/>
      <c r="BW36" s="1237"/>
      <c r="BX36" s="1277"/>
      <c r="BY36" s="206"/>
      <c r="BZ36" s="1279"/>
      <c r="CA36" s="1279"/>
      <c r="CB36" s="207"/>
      <c r="CC36" s="1279"/>
      <c r="CD36" s="1279"/>
      <c r="CE36" s="207"/>
      <c r="CF36" s="1279"/>
      <c r="CG36" s="207"/>
      <c r="CH36" s="1279"/>
      <c r="CI36" s="207"/>
      <c r="CJ36" s="1279"/>
      <c r="CK36" s="208"/>
      <c r="CL36" s="1267"/>
      <c r="CM36" s="1270"/>
      <c r="CN36" s="1276"/>
      <c r="CO36" s="1261"/>
      <c r="CP36" s="1296"/>
      <c r="CQ36" s="1276"/>
      <c r="CR36" s="1261"/>
      <c r="CS36" s="1261"/>
      <c r="CT36" s="212"/>
      <c r="CU36" s="793"/>
      <c r="CV36" s="794"/>
      <c r="CW36" s="212"/>
    </row>
    <row r="37" spans="1:101" ht="15.9" customHeight="1" x14ac:dyDescent="0.3">
      <c r="A37" s="156"/>
      <c r="B37" s="1282"/>
      <c r="C37" s="1237"/>
      <c r="D37" s="747"/>
      <c r="E37" s="1284"/>
      <c r="F37" s="1237"/>
      <c r="G37" s="1237"/>
      <c r="H37" s="292"/>
      <c r="I37" s="1237"/>
      <c r="J37" s="1237"/>
      <c r="K37" s="1237"/>
      <c r="L37" s="1237"/>
      <c r="M37" s="1237"/>
      <c r="N37" s="1237"/>
      <c r="O37" s="1237"/>
      <c r="P37" s="1237"/>
      <c r="Q37" s="1292"/>
      <c r="R37" s="293"/>
      <c r="S37" s="294"/>
      <c r="T37" s="841"/>
      <c r="U37" s="294"/>
      <c r="V37" s="841"/>
      <c r="W37" s="841"/>
      <c r="X37" s="294"/>
      <c r="Y37" s="841"/>
      <c r="Z37" s="294" t="s">
        <v>186</v>
      </c>
      <c r="AA37" s="294"/>
      <c r="AB37" s="294"/>
      <c r="AC37" s="294"/>
      <c r="AD37" s="295"/>
      <c r="AE37" s="614" t="s">
        <v>447</v>
      </c>
      <c r="AF37" s="614"/>
      <c r="AG37" s="842">
        <v>0.15</v>
      </c>
      <c r="AH37" s="842">
        <v>0.15</v>
      </c>
      <c r="AI37" s="494">
        <v>0.15</v>
      </c>
      <c r="AJ37" s="842">
        <v>0.15</v>
      </c>
      <c r="AK37" s="842">
        <v>0.15</v>
      </c>
      <c r="AL37" s="842">
        <v>0.15</v>
      </c>
      <c r="AM37" s="842">
        <v>0.15</v>
      </c>
      <c r="AN37" s="842">
        <v>0.15</v>
      </c>
      <c r="AO37" s="842">
        <v>0.15</v>
      </c>
      <c r="AP37" s="842">
        <v>0.15</v>
      </c>
      <c r="AQ37" s="843"/>
      <c r="AR37" s="843"/>
      <c r="AS37" s="843"/>
      <c r="AT37" s="844"/>
      <c r="AU37" s="845"/>
      <c r="AV37" s="845"/>
      <c r="AW37" s="845"/>
      <c r="AX37" s="846"/>
      <c r="AY37" s="847"/>
      <c r="AZ37" s="605"/>
      <c r="BA37" s="299"/>
      <c r="BB37" s="299"/>
      <c r="BC37" s="300"/>
      <c r="BD37" s="300"/>
      <c r="BE37" s="300"/>
      <c r="BF37" s="301"/>
      <c r="BG37" s="301"/>
      <c r="BH37" s="839"/>
      <c r="BI37" s="839"/>
      <c r="BJ37" s="839"/>
      <c r="BK37" s="840"/>
      <c r="BL37" s="822"/>
      <c r="BM37" s="205"/>
      <c r="BN37" s="1237"/>
      <c r="BO37" s="1237"/>
      <c r="BP37" s="205"/>
      <c r="BQ37" s="1237"/>
      <c r="BR37" s="1287"/>
      <c r="BS37" s="1287"/>
      <c r="BT37" s="795"/>
      <c r="BU37" s="1237"/>
      <c r="BV37" s="1237"/>
      <c r="BW37" s="1237"/>
      <c r="BX37" s="1277"/>
      <c r="BY37" s="206"/>
      <c r="BZ37" s="1279"/>
      <c r="CA37" s="1279"/>
      <c r="CB37" s="207"/>
      <c r="CC37" s="1279"/>
      <c r="CD37" s="1279"/>
      <c r="CE37" s="207"/>
      <c r="CF37" s="1279"/>
      <c r="CG37" s="207"/>
      <c r="CH37" s="1279"/>
      <c r="CI37" s="207"/>
      <c r="CJ37" s="1279"/>
      <c r="CK37" s="208"/>
      <c r="CL37" s="1267"/>
      <c r="CM37" s="1270"/>
      <c r="CN37" s="1276"/>
      <c r="CO37" s="1261"/>
      <c r="CP37" s="1296"/>
      <c r="CQ37" s="1276"/>
      <c r="CR37" s="1261"/>
      <c r="CS37" s="1261"/>
      <c r="CT37" s="212"/>
      <c r="CU37" s="793"/>
      <c r="CV37" s="794"/>
      <c r="CW37" s="212"/>
    </row>
    <row r="38" spans="1:101" ht="15.9" customHeight="1" x14ac:dyDescent="0.3">
      <c r="A38" s="156"/>
      <c r="B38" s="1282"/>
      <c r="C38" s="1237"/>
      <c r="D38" s="281" t="s">
        <v>253</v>
      </c>
      <c r="E38" s="1284"/>
      <c r="F38" s="1237"/>
      <c r="G38" s="1237"/>
      <c r="H38" s="292"/>
      <c r="I38" s="1237"/>
      <c r="J38" s="1237"/>
      <c r="K38" s="1237"/>
      <c r="L38" s="1237"/>
      <c r="M38" s="1237"/>
      <c r="N38" s="1237"/>
      <c r="O38" s="1237"/>
      <c r="P38" s="1237"/>
      <c r="Q38" s="1292"/>
      <c r="R38" s="293" t="s">
        <v>265</v>
      </c>
      <c r="S38" s="302"/>
      <c r="T38" s="303"/>
      <c r="U38" s="302"/>
      <c r="V38" s="303"/>
      <c r="W38" s="303"/>
      <c r="X38" s="302"/>
      <c r="Y38" s="303"/>
      <c r="Z38" s="294"/>
      <c r="AA38" s="294" t="s">
        <v>186</v>
      </c>
      <c r="AB38" s="294" t="s">
        <v>266</v>
      </c>
      <c r="AC38" s="294"/>
      <c r="AD38" s="295" t="s">
        <v>267</v>
      </c>
      <c r="AE38" s="614" t="s">
        <v>468</v>
      </c>
      <c r="AF38" s="614"/>
      <c r="AG38" s="969">
        <v>1.9570000000000001</v>
      </c>
      <c r="AH38" s="306">
        <f>1.457+0.5</f>
        <v>1.9570000000000001</v>
      </c>
      <c r="AI38" s="304">
        <v>1.9570000000000001</v>
      </c>
      <c r="AJ38" s="306">
        <v>1.9570000000000001</v>
      </c>
      <c r="AK38" s="306">
        <f>AI38</f>
        <v>1.9570000000000001</v>
      </c>
      <c r="AL38" s="306">
        <f>AJ38</f>
        <v>1.9570000000000001</v>
      </c>
      <c r="AM38" s="306">
        <v>1.9570000000000001</v>
      </c>
      <c r="AN38" s="306" t="e">
        <f>#REF!</f>
        <v>#REF!</v>
      </c>
      <c r="AO38" s="306">
        <f>1.457+0.5</f>
        <v>1.9570000000000001</v>
      </c>
      <c r="AP38" s="306">
        <f>AL38</f>
        <v>1.9570000000000001</v>
      </c>
      <c r="AQ38" s="848"/>
      <c r="AR38" s="848"/>
      <c r="AS38" s="848"/>
      <c r="AT38" s="1297">
        <v>10.75</v>
      </c>
      <c r="AU38" s="1299">
        <v>10.75</v>
      </c>
      <c r="AV38" s="1299">
        <v>10.75</v>
      </c>
      <c r="AW38" s="1299">
        <v>10.75</v>
      </c>
      <c r="AX38" s="849"/>
      <c r="AY38" s="1293">
        <v>10.75</v>
      </c>
      <c r="AZ38" s="605">
        <v>19</v>
      </c>
      <c r="BA38" s="299">
        <v>2</v>
      </c>
      <c r="BB38" s="307">
        <v>2</v>
      </c>
      <c r="BC38" s="308">
        <v>2</v>
      </c>
      <c r="BD38" s="308">
        <v>2</v>
      </c>
      <c r="BE38" s="308">
        <v>2</v>
      </c>
      <c r="BF38" s="309"/>
      <c r="BG38" s="309"/>
      <c r="BH38" s="310"/>
      <c r="BI38" s="310"/>
      <c r="BJ38" s="310"/>
      <c r="BK38" s="311"/>
      <c r="BL38" s="822"/>
      <c r="BM38" s="205"/>
      <c r="BN38" s="1237"/>
      <c r="BO38" s="1237"/>
      <c r="BP38" s="205"/>
      <c r="BQ38" s="1237"/>
      <c r="BR38" s="1287"/>
      <c r="BS38" s="1287"/>
      <c r="BT38" s="795"/>
      <c r="BU38" s="1237"/>
      <c r="BV38" s="1237"/>
      <c r="BW38" s="1237"/>
      <c r="BX38" s="1277"/>
      <c r="BY38" s="206"/>
      <c r="BZ38" s="1279"/>
      <c r="CA38" s="1279"/>
      <c r="CB38" s="207"/>
      <c r="CC38" s="1279"/>
      <c r="CD38" s="1279"/>
      <c r="CE38" s="207"/>
      <c r="CF38" s="1279"/>
      <c r="CG38" s="207"/>
      <c r="CH38" s="1279"/>
      <c r="CI38" s="207"/>
      <c r="CJ38" s="1279"/>
      <c r="CK38" s="208"/>
      <c r="CL38" s="1267"/>
      <c r="CM38" s="1270"/>
      <c r="CN38" s="1276"/>
      <c r="CO38" s="1261"/>
      <c r="CP38" s="1296"/>
      <c r="CQ38" s="1276"/>
      <c r="CR38" s="1261"/>
      <c r="CS38" s="1261"/>
      <c r="CT38" s="212"/>
      <c r="CU38" s="793"/>
      <c r="CV38" s="794"/>
      <c r="CW38" s="212"/>
    </row>
    <row r="39" spans="1:101" ht="15.9" customHeight="1" x14ac:dyDescent="0.3">
      <c r="A39" s="156"/>
      <c r="B39" s="1282"/>
      <c r="C39" s="1237"/>
      <c r="D39" s="281" t="s">
        <v>253</v>
      </c>
      <c r="E39" s="1284"/>
      <c r="F39" s="1237"/>
      <c r="G39" s="1237"/>
      <c r="H39" s="772" t="s">
        <v>268</v>
      </c>
      <c r="I39" s="1237"/>
      <c r="J39" s="1237"/>
      <c r="K39" s="1237"/>
      <c r="L39" s="1237"/>
      <c r="M39" s="1237"/>
      <c r="N39" s="1237"/>
      <c r="O39" s="1237"/>
      <c r="P39" s="1237"/>
      <c r="Q39" s="1292"/>
      <c r="R39" s="293" t="s">
        <v>269</v>
      </c>
      <c r="S39" s="294" t="s">
        <v>270</v>
      </c>
      <c r="T39" s="303"/>
      <c r="U39" s="303"/>
      <c r="V39" s="303"/>
      <c r="W39" s="303"/>
      <c r="X39" s="303"/>
      <c r="Y39" s="303"/>
      <c r="Z39" s="294"/>
      <c r="AA39" s="294" t="s">
        <v>186</v>
      </c>
      <c r="AB39" s="294"/>
      <c r="AC39" s="294"/>
      <c r="AD39" s="295" t="s">
        <v>271</v>
      </c>
      <c r="AE39" s="614"/>
      <c r="AF39" s="614"/>
      <c r="AG39" s="312">
        <v>2.835</v>
      </c>
      <c r="AH39" s="312">
        <v>2.835</v>
      </c>
      <c r="AI39" s="313">
        <v>3.54</v>
      </c>
      <c r="AJ39" s="312">
        <v>3.54</v>
      </c>
      <c r="AK39" s="314">
        <f>AI39</f>
        <v>3.54</v>
      </c>
      <c r="AL39" s="314">
        <f>AJ39</f>
        <v>3.54</v>
      </c>
      <c r="AM39" s="312">
        <v>3.54</v>
      </c>
      <c r="AN39" s="314" t="e">
        <f>#REF!</f>
        <v>#REF!</v>
      </c>
      <c r="AO39" s="312">
        <v>2.835</v>
      </c>
      <c r="AP39" s="314">
        <f>AL39</f>
        <v>3.54</v>
      </c>
      <c r="AQ39" s="652"/>
      <c r="AR39" s="652"/>
      <c r="AS39" s="652"/>
      <c r="AT39" s="1298"/>
      <c r="AU39" s="1300"/>
      <c r="AV39" s="1300"/>
      <c r="AW39" s="1300"/>
      <c r="AX39" s="850"/>
      <c r="AY39" s="1294"/>
      <c r="AZ39" s="605">
        <v>20</v>
      </c>
      <c r="BA39" s="299">
        <v>0</v>
      </c>
      <c r="BB39" s="307">
        <v>0</v>
      </c>
      <c r="BC39" s="308">
        <v>0</v>
      </c>
      <c r="BD39" s="308">
        <v>0</v>
      </c>
      <c r="BE39" s="308">
        <v>0</v>
      </c>
      <c r="BF39" s="309"/>
      <c r="BG39" s="309"/>
      <c r="BH39" s="310"/>
      <c r="BI39" s="310"/>
      <c r="BJ39" s="310"/>
      <c r="BK39" s="311"/>
      <c r="BL39" s="822"/>
      <c r="BM39" s="205"/>
      <c r="BN39" s="1237"/>
      <c r="BO39" s="1237"/>
      <c r="BP39" s="205"/>
      <c r="BQ39" s="1237"/>
      <c r="BR39" s="1287"/>
      <c r="BS39" s="1287"/>
      <c r="BT39" s="795"/>
      <c r="BU39" s="1237"/>
      <c r="BV39" s="1237"/>
      <c r="BW39" s="1237"/>
      <c r="BX39" s="1277"/>
      <c r="BY39" s="206"/>
      <c r="BZ39" s="1279"/>
      <c r="CA39" s="1279"/>
      <c r="CB39" s="207"/>
      <c r="CC39" s="1279"/>
      <c r="CD39" s="1279"/>
      <c r="CE39" s="207"/>
      <c r="CF39" s="1279"/>
      <c r="CG39" s="207"/>
      <c r="CH39" s="1279"/>
      <c r="CI39" s="207"/>
      <c r="CJ39" s="1279"/>
      <c r="CK39" s="208"/>
      <c r="CL39" s="1267"/>
      <c r="CM39" s="1270"/>
      <c r="CN39" s="1276"/>
      <c r="CO39" s="1261"/>
      <c r="CP39" s="1296"/>
      <c r="CQ39" s="1276"/>
      <c r="CR39" s="1261"/>
      <c r="CS39" s="1261"/>
      <c r="CT39" s="212"/>
      <c r="CU39" s="793"/>
      <c r="CV39" s="794"/>
      <c r="CW39" s="212"/>
    </row>
    <row r="40" spans="1:101" ht="15.9" customHeight="1" x14ac:dyDescent="0.3">
      <c r="A40" s="156"/>
      <c r="B40" s="1282"/>
      <c r="C40" s="1239"/>
      <c r="D40" s="281" t="s">
        <v>253</v>
      </c>
      <c r="E40" s="1284"/>
      <c r="F40" s="1237"/>
      <c r="G40" s="1237"/>
      <c r="H40" s="315"/>
      <c r="I40" s="1237"/>
      <c r="J40" s="1237"/>
      <c r="K40" s="1239"/>
      <c r="L40" s="1239"/>
      <c r="M40" s="1239"/>
      <c r="N40" s="1237"/>
      <c r="O40" s="1237"/>
      <c r="P40" s="1237"/>
      <c r="Q40" s="1292"/>
      <c r="R40" s="316" t="s">
        <v>272</v>
      </c>
      <c r="S40" s="317"/>
      <c r="T40" s="318"/>
      <c r="U40" s="317"/>
      <c r="V40" s="318"/>
      <c r="W40" s="318"/>
      <c r="X40" s="317"/>
      <c r="Y40" s="318"/>
      <c r="Z40" s="277"/>
      <c r="AA40" s="277" t="s">
        <v>186</v>
      </c>
      <c r="AB40" s="277" t="s">
        <v>266</v>
      </c>
      <c r="AC40" s="277"/>
      <c r="AD40" s="319" t="s">
        <v>273</v>
      </c>
      <c r="AE40" s="615"/>
      <c r="AF40" s="615"/>
      <c r="AG40" s="970"/>
      <c r="AH40" s="322"/>
      <c r="AI40" s="320"/>
      <c r="AJ40" s="322"/>
      <c r="AK40" s="322"/>
      <c r="AL40" s="322"/>
      <c r="AM40" s="322"/>
      <c r="AN40" s="322"/>
      <c r="AO40" s="322"/>
      <c r="AP40" s="322"/>
      <c r="AQ40" s="320"/>
      <c r="AR40" s="320"/>
      <c r="AS40" s="320"/>
      <c r="AT40" s="320"/>
      <c r="AU40" s="321"/>
      <c r="AV40" s="321"/>
      <c r="AW40" s="321"/>
      <c r="AX40" s="851"/>
      <c r="AY40" s="322"/>
      <c r="AZ40" s="605">
        <v>21</v>
      </c>
      <c r="BA40" s="323"/>
      <c r="BB40" s="323"/>
      <c r="BC40" s="324"/>
      <c r="BD40" s="324"/>
      <c r="BE40" s="324"/>
      <c r="BF40" s="323"/>
      <c r="BG40" s="323"/>
      <c r="BH40" s="325"/>
      <c r="BI40" s="325"/>
      <c r="BJ40" s="325"/>
      <c r="BK40" s="324"/>
      <c r="BL40" s="822"/>
      <c r="BM40" s="205"/>
      <c r="BN40" s="1237"/>
      <c r="BO40" s="1237"/>
      <c r="BP40" s="205"/>
      <c r="BQ40" s="1237"/>
      <c r="BR40" s="1287"/>
      <c r="BS40" s="1287"/>
      <c r="BT40" s="795"/>
      <c r="BU40" s="1237"/>
      <c r="BV40" s="1237"/>
      <c r="BW40" s="1237"/>
      <c r="BX40" s="1277"/>
      <c r="BY40" s="206"/>
      <c r="BZ40" s="1279"/>
      <c r="CA40" s="1279"/>
      <c r="CB40" s="207"/>
      <c r="CC40" s="1279"/>
      <c r="CD40" s="1279"/>
      <c r="CE40" s="207"/>
      <c r="CF40" s="1279"/>
      <c r="CG40" s="207"/>
      <c r="CH40" s="1279"/>
      <c r="CI40" s="207"/>
      <c r="CJ40" s="1279"/>
      <c r="CK40" s="208"/>
      <c r="CL40" s="1267"/>
      <c r="CM40" s="1270"/>
      <c r="CN40" s="1276"/>
      <c r="CO40" s="1261"/>
      <c r="CP40" s="1296"/>
      <c r="CQ40" s="1276"/>
      <c r="CR40" s="1261"/>
      <c r="CS40" s="1261"/>
      <c r="CT40" s="212"/>
      <c r="CU40" s="793"/>
      <c r="CV40" s="794"/>
      <c r="CW40" s="212"/>
    </row>
    <row r="41" spans="1:101" ht="24" customHeight="1" x14ac:dyDescent="0.3">
      <c r="A41" s="156"/>
      <c r="B41" s="1281" t="s">
        <v>368</v>
      </c>
      <c r="C41" s="782" t="s">
        <v>233</v>
      </c>
      <c r="D41" s="793" t="s">
        <v>274</v>
      </c>
      <c r="E41" s="793" t="s">
        <v>253</v>
      </c>
      <c r="F41" s="747" t="s">
        <v>275</v>
      </c>
      <c r="G41" s="747" t="s">
        <v>235</v>
      </c>
      <c r="H41" s="793"/>
      <c r="I41" s="793" t="s">
        <v>98</v>
      </c>
      <c r="J41" s="793" t="s">
        <v>19</v>
      </c>
      <c r="K41" s="793" t="s">
        <v>259</v>
      </c>
      <c r="L41" s="793" t="s">
        <v>274</v>
      </c>
      <c r="M41" s="793" t="s">
        <v>239</v>
      </c>
      <c r="N41" s="793"/>
      <c r="O41" s="793" t="s">
        <v>261</v>
      </c>
      <c r="P41" s="781" t="s">
        <v>276</v>
      </c>
      <c r="Q41" s="182"/>
      <c r="R41" s="326" t="s">
        <v>277</v>
      </c>
      <c r="S41" s="811" t="s">
        <v>278</v>
      </c>
      <c r="T41" s="327"/>
      <c r="U41" s="811" t="s">
        <v>278</v>
      </c>
      <c r="V41" s="183"/>
      <c r="W41" s="183"/>
      <c r="X41" s="183"/>
      <c r="Y41" s="183"/>
      <c r="Z41" s="1302"/>
      <c r="AA41" s="1302" t="s">
        <v>186</v>
      </c>
      <c r="AB41" s="1302" t="s">
        <v>266</v>
      </c>
      <c r="AC41" s="1302"/>
      <c r="AD41" s="328" t="s">
        <v>279</v>
      </c>
      <c r="AE41" s="616"/>
      <c r="AF41" s="616"/>
      <c r="AG41" s="971">
        <v>4.26</v>
      </c>
      <c r="AH41" s="224">
        <v>4.26</v>
      </c>
      <c r="AI41" s="198">
        <v>4.26</v>
      </c>
      <c r="AJ41" s="224">
        <v>4.26</v>
      </c>
      <c r="AK41" s="224">
        <f>AI41</f>
        <v>4.26</v>
      </c>
      <c r="AL41" s="224">
        <f>AJ41</f>
        <v>4.26</v>
      </c>
      <c r="AM41" s="224">
        <v>4.26</v>
      </c>
      <c r="AN41" s="224" t="e">
        <f>#REF!</f>
        <v>#REF!</v>
      </c>
      <c r="AO41" s="224">
        <v>4.26</v>
      </c>
      <c r="AP41" s="224">
        <f>AL41</f>
        <v>4.26</v>
      </c>
      <c r="AQ41" s="185"/>
      <c r="AR41" s="185"/>
      <c r="AS41" s="185"/>
      <c r="AT41" s="185" t="s">
        <v>187</v>
      </c>
      <c r="AU41" s="219" t="s">
        <v>187</v>
      </c>
      <c r="AV41" s="219" t="s">
        <v>187</v>
      </c>
      <c r="AW41" s="219" t="s">
        <v>187</v>
      </c>
      <c r="AX41" s="825"/>
      <c r="AY41" s="220" t="s">
        <v>187</v>
      </c>
      <c r="AZ41" s="605">
        <v>22</v>
      </c>
      <c r="BA41" s="198">
        <v>6.6</v>
      </c>
      <c r="BB41" s="198">
        <v>6.6</v>
      </c>
      <c r="BC41" s="224">
        <v>6.6</v>
      </c>
      <c r="BD41" s="224">
        <v>6.6</v>
      </c>
      <c r="BE41" s="224">
        <v>6.6</v>
      </c>
      <c r="BF41" s="185" t="s">
        <v>187</v>
      </c>
      <c r="BG41" s="185" t="s">
        <v>187</v>
      </c>
      <c r="BH41" s="219" t="s">
        <v>187</v>
      </c>
      <c r="BI41" s="219" t="s">
        <v>187</v>
      </c>
      <c r="BJ41" s="219" t="s">
        <v>187</v>
      </c>
      <c r="BK41" s="220" t="s">
        <v>187</v>
      </c>
      <c r="BL41" s="822"/>
      <c r="BM41" s="205" t="s">
        <v>280</v>
      </c>
      <c r="BN41" s="793" t="s">
        <v>280</v>
      </c>
      <c r="BO41" s="793" t="s">
        <v>280</v>
      </c>
      <c r="BP41" s="205" t="s">
        <v>280</v>
      </c>
      <c r="BQ41" s="793" t="s">
        <v>280</v>
      </c>
      <c r="BR41" s="1288"/>
      <c r="BS41" s="1288"/>
      <c r="BT41" s="795"/>
      <c r="BU41" s="793" t="s">
        <v>280</v>
      </c>
      <c r="BV41" s="793" t="s">
        <v>280</v>
      </c>
      <c r="BW41" s="793" t="s">
        <v>280</v>
      </c>
      <c r="BX41" s="1277"/>
      <c r="BY41" s="206"/>
      <c r="BZ41" s="1280"/>
      <c r="CA41" s="1280"/>
      <c r="CB41" s="207"/>
      <c r="CC41" s="1280"/>
      <c r="CD41" s="1280"/>
      <c r="CE41" s="207"/>
      <c r="CF41" s="1280"/>
      <c r="CG41" s="207"/>
      <c r="CH41" s="1280"/>
      <c r="CI41" s="207"/>
      <c r="CJ41" s="1280"/>
      <c r="CK41" s="208"/>
      <c r="CL41" s="209" t="s">
        <v>281</v>
      </c>
      <c r="CM41" s="1271"/>
      <c r="CN41" s="192"/>
      <c r="CO41" s="192"/>
      <c r="CP41" s="192"/>
      <c r="CQ41" s="210">
        <v>1.1000000000000001</v>
      </c>
      <c r="CR41" s="211">
        <v>2</v>
      </c>
      <c r="CS41" s="211" t="s">
        <v>248</v>
      </c>
      <c r="CT41" s="212"/>
      <c r="CU41" s="222" t="s">
        <v>249</v>
      </c>
      <c r="CV41" s="212"/>
      <c r="CW41" s="212"/>
    </row>
    <row r="42" spans="1:101" ht="25.5" customHeight="1" x14ac:dyDescent="0.3">
      <c r="A42" s="156"/>
      <c r="B42" s="1301"/>
      <c r="C42" s="784" t="s">
        <v>252</v>
      </c>
      <c r="D42" s="793" t="s">
        <v>253</v>
      </c>
      <c r="E42" s="782" t="s">
        <v>253</v>
      </c>
      <c r="F42" s="771"/>
      <c r="G42" s="771" t="s">
        <v>282</v>
      </c>
      <c r="H42" s="782"/>
      <c r="I42" s="782"/>
      <c r="J42" s="782"/>
      <c r="K42" s="793" t="s">
        <v>259</v>
      </c>
      <c r="L42" s="782" t="s">
        <v>260</v>
      </c>
      <c r="M42" s="782" t="s">
        <v>239</v>
      </c>
      <c r="N42" s="782"/>
      <c r="O42" s="782"/>
      <c r="P42" s="781"/>
      <c r="Q42" s="329"/>
      <c r="R42" s="330"/>
      <c r="S42" s="810"/>
      <c r="T42" s="331"/>
      <c r="U42" s="810"/>
      <c r="V42" s="331"/>
      <c r="W42" s="331"/>
      <c r="X42" s="810"/>
      <c r="Y42" s="331"/>
      <c r="Z42" s="1303"/>
      <c r="AA42" s="1303"/>
      <c r="AB42" s="1303"/>
      <c r="AC42" s="1303"/>
      <c r="AD42" s="852" t="s">
        <v>283</v>
      </c>
      <c r="AE42" s="853"/>
      <c r="AF42" s="853"/>
      <c r="AG42" s="971">
        <v>4.26</v>
      </c>
      <c r="AH42" s="224">
        <v>4.26</v>
      </c>
      <c r="AI42" s="198">
        <v>4.26</v>
      </c>
      <c r="AJ42" s="224">
        <v>4.26</v>
      </c>
      <c r="AK42" s="224">
        <f>AI42</f>
        <v>4.26</v>
      </c>
      <c r="AL42" s="224">
        <f>AJ42</f>
        <v>4.26</v>
      </c>
      <c r="AM42" s="224">
        <v>4.26</v>
      </c>
      <c r="AN42" s="224" t="e">
        <f>#REF!</f>
        <v>#REF!</v>
      </c>
      <c r="AO42" s="224">
        <v>4.26</v>
      </c>
      <c r="AP42" s="224">
        <f>AL42</f>
        <v>4.26</v>
      </c>
      <c r="AQ42" s="185"/>
      <c r="AR42" s="185"/>
      <c r="AS42" s="185"/>
      <c r="AT42" s="185" t="s">
        <v>187</v>
      </c>
      <c r="AU42" s="219" t="s">
        <v>187</v>
      </c>
      <c r="AV42" s="219" t="s">
        <v>187</v>
      </c>
      <c r="AW42" s="219" t="s">
        <v>187</v>
      </c>
      <c r="AX42" s="825"/>
      <c r="AY42" s="220" t="s">
        <v>187</v>
      </c>
      <c r="AZ42" s="605">
        <v>23</v>
      </c>
      <c r="BA42" s="768">
        <v>12.9</v>
      </c>
      <c r="BB42" s="768">
        <v>12.9</v>
      </c>
      <c r="BC42" s="766">
        <v>12.9</v>
      </c>
      <c r="BD42" s="766">
        <v>12.9</v>
      </c>
      <c r="BE42" s="766">
        <v>12.9</v>
      </c>
      <c r="BF42" s="185" t="s">
        <v>187</v>
      </c>
      <c r="BG42" s="185" t="s">
        <v>187</v>
      </c>
      <c r="BH42" s="219" t="s">
        <v>187</v>
      </c>
      <c r="BI42" s="219" t="s">
        <v>187</v>
      </c>
      <c r="BJ42" s="219" t="s">
        <v>187</v>
      </c>
      <c r="BK42" s="220" t="s">
        <v>187</v>
      </c>
      <c r="BL42" s="822"/>
      <c r="BM42" s="205"/>
      <c r="BN42" s="782"/>
      <c r="BO42" s="782"/>
      <c r="BP42" s="205"/>
      <c r="BQ42" s="782"/>
      <c r="BR42" s="807"/>
      <c r="BS42" s="808"/>
      <c r="BT42" s="795"/>
      <c r="BU42" s="782"/>
      <c r="BV42" s="782"/>
      <c r="BW42" s="782"/>
      <c r="BX42" s="806"/>
      <c r="BY42" s="206"/>
      <c r="BZ42" s="795"/>
      <c r="CA42" s="795"/>
      <c r="CB42" s="207"/>
      <c r="CC42" s="795"/>
      <c r="CD42" s="795"/>
      <c r="CE42" s="207"/>
      <c r="CF42" s="795"/>
      <c r="CG42" s="207"/>
      <c r="CH42" s="795"/>
      <c r="CI42" s="207"/>
      <c r="CJ42" s="796"/>
      <c r="CK42" s="208"/>
      <c r="CL42" s="788"/>
      <c r="CM42" s="802"/>
      <c r="CN42" s="803"/>
      <c r="CO42" s="803"/>
      <c r="CP42" s="803"/>
      <c r="CQ42" s="757"/>
      <c r="CR42" s="748"/>
      <c r="CS42" s="748"/>
      <c r="CT42" s="212"/>
      <c r="CU42" s="222"/>
      <c r="CV42" s="212"/>
      <c r="CW42" s="212"/>
    </row>
    <row r="43" spans="1:101" ht="19.5" customHeight="1" x14ac:dyDescent="0.3">
      <c r="A43" s="156"/>
      <c r="B43" s="1236" t="s">
        <v>29</v>
      </c>
      <c r="C43" s="1236"/>
      <c r="D43" s="1253">
        <v>1.8</v>
      </c>
      <c r="E43" s="1236" t="s">
        <v>284</v>
      </c>
      <c r="F43" s="1236">
        <v>1.8</v>
      </c>
      <c r="G43" s="1236" t="s">
        <v>282</v>
      </c>
      <c r="H43" s="1236"/>
      <c r="I43" s="1236" t="s">
        <v>285</v>
      </c>
      <c r="J43" s="1236" t="s">
        <v>98</v>
      </c>
      <c r="K43" s="782"/>
      <c r="L43" s="782"/>
      <c r="M43" s="782"/>
      <c r="N43" s="1236"/>
      <c r="O43" s="1236" t="s">
        <v>286</v>
      </c>
      <c r="P43" s="1312" t="s">
        <v>287</v>
      </c>
      <c r="Q43" s="1314"/>
      <c r="R43" s="332"/>
      <c r="S43" s="248" t="s">
        <v>439</v>
      </c>
      <c r="T43" s="327"/>
      <c r="U43" s="248" t="s">
        <v>439</v>
      </c>
      <c r="V43" s="327"/>
      <c r="W43" s="327"/>
      <c r="X43" s="333"/>
      <c r="Y43" s="327"/>
      <c r="Z43" s="285" t="s">
        <v>186</v>
      </c>
      <c r="AA43" s="285"/>
      <c r="AB43" s="285"/>
      <c r="AC43" s="285"/>
      <c r="AD43" s="334" t="s">
        <v>469</v>
      </c>
      <c r="AE43" s="617" t="s">
        <v>564</v>
      </c>
      <c r="AF43" s="617"/>
      <c r="AG43" s="854">
        <v>0.7</v>
      </c>
      <c r="AH43" s="854">
        <v>0.7</v>
      </c>
      <c r="AI43" s="854">
        <v>0.7</v>
      </c>
      <c r="AJ43" s="854">
        <v>0.7</v>
      </c>
      <c r="AK43" s="854">
        <v>0.7</v>
      </c>
      <c r="AL43" s="854">
        <v>0.7</v>
      </c>
      <c r="AM43" s="854">
        <v>0.7</v>
      </c>
      <c r="AN43" s="854">
        <v>0.7</v>
      </c>
      <c r="AO43" s="854">
        <v>0.7</v>
      </c>
      <c r="AP43" s="854">
        <v>0.7</v>
      </c>
      <c r="AQ43" s="854">
        <v>0.7</v>
      </c>
      <c r="AR43" s="854">
        <v>0.7</v>
      </c>
      <c r="AS43" s="854">
        <v>0.7</v>
      </c>
      <c r="AT43" s="854">
        <v>0.7</v>
      </c>
      <c r="AU43" s="854">
        <v>0.7</v>
      </c>
      <c r="AV43" s="854">
        <v>0.7</v>
      </c>
      <c r="AW43" s="854">
        <v>0.7</v>
      </c>
      <c r="AX43" s="854">
        <v>0.7</v>
      </c>
      <c r="AY43" s="854">
        <v>0.7</v>
      </c>
      <c r="AZ43" s="605">
        <v>24</v>
      </c>
      <c r="BA43" s="253"/>
      <c r="BB43" s="253"/>
      <c r="BC43" s="271"/>
      <c r="BD43" s="271"/>
      <c r="BE43" s="271"/>
      <c r="BF43" s="855"/>
      <c r="BG43" s="855"/>
      <c r="BH43" s="856"/>
      <c r="BI43" s="856"/>
      <c r="BJ43" s="856" t="s">
        <v>187</v>
      </c>
      <c r="BK43" s="857" t="s">
        <v>187</v>
      </c>
      <c r="BL43" s="822"/>
      <c r="BM43" s="335" t="s">
        <v>29</v>
      </c>
      <c r="BN43" s="1304" t="s">
        <v>29</v>
      </c>
      <c r="BO43" s="1304" t="s">
        <v>29</v>
      </c>
      <c r="BP43" s="336" t="s">
        <v>29</v>
      </c>
      <c r="BQ43" s="1304" t="s">
        <v>29</v>
      </c>
      <c r="BR43" s="1304" t="s">
        <v>29</v>
      </c>
      <c r="BS43" s="337" t="s">
        <v>29</v>
      </c>
      <c r="BT43" s="760"/>
      <c r="BU43" s="1304" t="s">
        <v>29</v>
      </c>
      <c r="BV43" s="1304" t="s">
        <v>29</v>
      </c>
      <c r="BW43" s="1304" t="s">
        <v>29</v>
      </c>
      <c r="BX43" s="1304" t="s">
        <v>29</v>
      </c>
      <c r="BY43" s="206"/>
      <c r="BZ43" s="1304" t="s">
        <v>29</v>
      </c>
      <c r="CA43" s="1304" t="s">
        <v>29</v>
      </c>
      <c r="CB43" s="206"/>
      <c r="CC43" s="1304" t="s">
        <v>29</v>
      </c>
      <c r="CD43" s="1304" t="s">
        <v>29</v>
      </c>
      <c r="CE43" s="206"/>
      <c r="CF43" s="1306"/>
      <c r="CG43" s="206"/>
      <c r="CH43" s="1306"/>
      <c r="CI43" s="206"/>
      <c r="CJ43" s="337"/>
      <c r="CK43" s="208"/>
      <c r="CL43" s="1266" t="s">
        <v>289</v>
      </c>
      <c r="CM43" s="1308" t="s">
        <v>29</v>
      </c>
      <c r="CN43" s="1275">
        <v>1.44</v>
      </c>
      <c r="CO43" s="1260">
        <v>3.85</v>
      </c>
      <c r="CP43" s="1295">
        <v>0.84</v>
      </c>
      <c r="CQ43" s="1275">
        <v>1.18</v>
      </c>
      <c r="CR43" s="1260">
        <v>3.85</v>
      </c>
      <c r="CS43" s="1260" t="s">
        <v>248</v>
      </c>
      <c r="CT43" s="212"/>
      <c r="CU43" s="793" t="s">
        <v>29</v>
      </c>
      <c r="CV43" s="793" t="s">
        <v>29</v>
      </c>
      <c r="CW43" s="212"/>
    </row>
    <row r="44" spans="1:101" ht="19.5" customHeight="1" x14ac:dyDescent="0.3">
      <c r="A44" s="156"/>
      <c r="B44" s="1237"/>
      <c r="C44" s="1237"/>
      <c r="D44" s="1253"/>
      <c r="E44" s="1237"/>
      <c r="F44" s="1237"/>
      <c r="G44" s="1237"/>
      <c r="H44" s="1237"/>
      <c r="I44" s="1237"/>
      <c r="J44" s="1237"/>
      <c r="K44" s="783"/>
      <c r="L44" s="783"/>
      <c r="M44" s="783"/>
      <c r="N44" s="1237"/>
      <c r="O44" s="1237"/>
      <c r="P44" s="1313"/>
      <c r="Q44" s="1315"/>
      <c r="R44" s="858"/>
      <c r="S44" s="333"/>
      <c r="T44" s="339"/>
      <c r="U44" s="340"/>
      <c r="V44" s="339"/>
      <c r="W44" s="339"/>
      <c r="X44" s="340"/>
      <c r="Y44" s="339"/>
      <c r="Z44" s="341"/>
      <c r="AA44" s="341" t="s">
        <v>186</v>
      </c>
      <c r="AB44" s="341" t="s">
        <v>288</v>
      </c>
      <c r="AC44" s="341"/>
      <c r="AD44" s="666" t="s">
        <v>470</v>
      </c>
      <c r="AE44" s="667" t="s">
        <v>521</v>
      </c>
      <c r="AF44" s="667"/>
      <c r="AG44" s="668">
        <v>1.3</v>
      </c>
      <c r="AH44" s="668">
        <v>1.3</v>
      </c>
      <c r="AI44" s="668">
        <v>1.3</v>
      </c>
      <c r="AJ44" s="668">
        <v>1.3</v>
      </c>
      <c r="AK44" s="668">
        <v>1.3</v>
      </c>
      <c r="AL44" s="668">
        <v>1.3</v>
      </c>
      <c r="AM44" s="668">
        <v>1.3</v>
      </c>
      <c r="AN44" s="668">
        <v>1.3</v>
      </c>
      <c r="AO44" s="668">
        <v>1.3</v>
      </c>
      <c r="AP44" s="668">
        <v>1.3</v>
      </c>
      <c r="AQ44" s="669"/>
      <c r="AR44" s="669"/>
      <c r="AS44" s="669"/>
      <c r="AT44" s="669" t="s">
        <v>187</v>
      </c>
      <c r="AU44" s="670" t="s">
        <v>187</v>
      </c>
      <c r="AV44" s="670" t="s">
        <v>187</v>
      </c>
      <c r="AW44" s="670" t="s">
        <v>187</v>
      </c>
      <c r="AX44" s="859"/>
      <c r="AY44" s="671" t="s">
        <v>187</v>
      </c>
      <c r="AZ44" s="605">
        <v>24</v>
      </c>
      <c r="BA44" s="672">
        <v>0.22</v>
      </c>
      <c r="BB44" s="672">
        <v>0.22</v>
      </c>
      <c r="BC44" s="673">
        <v>0.22</v>
      </c>
      <c r="BD44" s="673">
        <v>0.22</v>
      </c>
      <c r="BE44" s="673">
        <v>0.22</v>
      </c>
      <c r="BF44" s="669" t="s">
        <v>187</v>
      </c>
      <c r="BG44" s="669" t="s">
        <v>187</v>
      </c>
      <c r="BH44" s="670" t="s">
        <v>187</v>
      </c>
      <c r="BI44" s="670" t="s">
        <v>187</v>
      </c>
      <c r="BJ44" s="670" t="s">
        <v>187</v>
      </c>
      <c r="BK44" s="671" t="s">
        <v>187</v>
      </c>
      <c r="BL44" s="822"/>
      <c r="BM44" s="335" t="s">
        <v>29</v>
      </c>
      <c r="BN44" s="1305"/>
      <c r="BO44" s="1305"/>
      <c r="BP44" s="336"/>
      <c r="BQ44" s="1305"/>
      <c r="BR44" s="1305"/>
      <c r="BS44" s="337"/>
      <c r="BT44" s="760"/>
      <c r="BU44" s="1305"/>
      <c r="BV44" s="1305"/>
      <c r="BW44" s="1305"/>
      <c r="BX44" s="1305"/>
      <c r="BY44" s="206"/>
      <c r="BZ44" s="1305"/>
      <c r="CA44" s="1305"/>
      <c r="CB44" s="206"/>
      <c r="CC44" s="1305"/>
      <c r="CD44" s="1305"/>
      <c r="CE44" s="206"/>
      <c r="CF44" s="1307"/>
      <c r="CG44" s="206"/>
      <c r="CH44" s="1307"/>
      <c r="CI44" s="206"/>
      <c r="CJ44" s="337"/>
      <c r="CK44" s="208"/>
      <c r="CL44" s="1267"/>
      <c r="CM44" s="1309"/>
      <c r="CN44" s="1276"/>
      <c r="CO44" s="1261"/>
      <c r="CP44" s="1296"/>
      <c r="CQ44" s="1276"/>
      <c r="CR44" s="1261"/>
      <c r="CS44" s="1261"/>
      <c r="CT44" s="212"/>
      <c r="CU44" s="793"/>
      <c r="CV44" s="793"/>
      <c r="CW44" s="212"/>
    </row>
    <row r="45" spans="1:101" ht="19.5" customHeight="1" x14ac:dyDescent="0.3">
      <c r="A45" s="156"/>
      <c r="B45" s="1237"/>
      <c r="C45" s="1237"/>
      <c r="D45" s="1253"/>
      <c r="E45" s="1237"/>
      <c r="F45" s="1237"/>
      <c r="G45" s="1237"/>
      <c r="H45" s="1237"/>
      <c r="I45" s="1237"/>
      <c r="J45" s="1237"/>
      <c r="K45" s="783"/>
      <c r="L45" s="783"/>
      <c r="M45" s="783"/>
      <c r="N45" s="1237"/>
      <c r="O45" s="1237"/>
      <c r="P45" s="1313"/>
      <c r="Q45" s="1315"/>
      <c r="R45" s="858"/>
      <c r="S45" s="333"/>
      <c r="T45" s="339"/>
      <c r="U45" s="340"/>
      <c r="V45" s="339"/>
      <c r="W45" s="339"/>
      <c r="X45" s="340"/>
      <c r="Y45" s="339"/>
      <c r="Z45" s="341"/>
      <c r="AA45" s="341" t="s">
        <v>186</v>
      </c>
      <c r="AB45" s="341"/>
      <c r="AC45" s="341"/>
      <c r="AD45" s="666"/>
      <c r="AE45" s="667" t="s">
        <v>435</v>
      </c>
      <c r="AF45" s="667"/>
      <c r="AG45" s="668">
        <v>0.16500000000000001</v>
      </c>
      <c r="AH45" s="668">
        <v>0.16500000000000001</v>
      </c>
      <c r="AI45" s="668">
        <v>0.16500000000000001</v>
      </c>
      <c r="AJ45" s="668">
        <v>0.16500000000000001</v>
      </c>
      <c r="AK45" s="668">
        <v>0.16500000000000001</v>
      </c>
      <c r="AL45" s="668">
        <v>0.16500000000000001</v>
      </c>
      <c r="AM45" s="668">
        <v>0.16500000000000001</v>
      </c>
      <c r="AN45" s="668">
        <v>0.16500000000000001</v>
      </c>
      <c r="AO45" s="668">
        <v>0.16500000000000001</v>
      </c>
      <c r="AP45" s="668">
        <v>0.16500000000000001</v>
      </c>
      <c r="AQ45" s="669"/>
      <c r="AR45" s="669"/>
      <c r="AS45" s="669"/>
      <c r="AT45" s="669"/>
      <c r="AU45" s="670"/>
      <c r="AV45" s="670"/>
      <c r="AW45" s="670"/>
      <c r="AX45" s="859"/>
      <c r="AY45" s="671"/>
      <c r="AZ45" s="605"/>
      <c r="BA45" s="672"/>
      <c r="BB45" s="672"/>
      <c r="BC45" s="673"/>
      <c r="BD45" s="673"/>
      <c r="BE45" s="673"/>
      <c r="BF45" s="669"/>
      <c r="BG45" s="669"/>
      <c r="BH45" s="670"/>
      <c r="BI45" s="670"/>
      <c r="BJ45" s="670"/>
      <c r="BK45" s="671"/>
      <c r="BL45" s="822"/>
      <c r="BM45" s="335"/>
      <c r="BN45" s="1305"/>
      <c r="BO45" s="1305"/>
      <c r="BP45" s="336"/>
      <c r="BQ45" s="1305"/>
      <c r="BR45" s="1305"/>
      <c r="BS45" s="337"/>
      <c r="BT45" s="760"/>
      <c r="BU45" s="1305"/>
      <c r="BV45" s="1305"/>
      <c r="BW45" s="1305"/>
      <c r="BX45" s="1305"/>
      <c r="BY45" s="206"/>
      <c r="BZ45" s="1305"/>
      <c r="CA45" s="1305"/>
      <c r="CB45" s="206"/>
      <c r="CC45" s="1305"/>
      <c r="CD45" s="1305"/>
      <c r="CE45" s="206"/>
      <c r="CF45" s="1307"/>
      <c r="CG45" s="206"/>
      <c r="CH45" s="1307"/>
      <c r="CI45" s="206"/>
      <c r="CJ45" s="337"/>
      <c r="CK45" s="208"/>
      <c r="CL45" s="1267"/>
      <c r="CM45" s="1309"/>
      <c r="CN45" s="1276"/>
      <c r="CO45" s="1261"/>
      <c r="CP45" s="1296"/>
      <c r="CQ45" s="1276"/>
      <c r="CR45" s="1261"/>
      <c r="CS45" s="1261"/>
      <c r="CT45" s="212"/>
      <c r="CU45" s="793"/>
      <c r="CV45" s="793"/>
      <c r="CW45" s="212"/>
    </row>
    <row r="46" spans="1:101" ht="15" customHeight="1" x14ac:dyDescent="0.3">
      <c r="A46" s="156"/>
      <c r="B46" s="1237"/>
      <c r="C46" s="1237"/>
      <c r="D46" s="1253"/>
      <c r="E46" s="1237"/>
      <c r="F46" s="1237"/>
      <c r="G46" s="1237"/>
      <c r="H46" s="1237"/>
      <c r="I46" s="1237"/>
      <c r="J46" s="1237"/>
      <c r="K46" s="783"/>
      <c r="L46" s="783"/>
      <c r="M46" s="783"/>
      <c r="N46" s="1237"/>
      <c r="O46" s="1237"/>
      <c r="P46" s="1313"/>
      <c r="Q46" s="1315"/>
      <c r="R46" s="338" t="s">
        <v>272</v>
      </c>
      <c r="S46" s="333"/>
      <c r="T46" s="339"/>
      <c r="U46" s="340"/>
      <c r="V46" s="339"/>
      <c r="W46" s="339"/>
      <c r="X46" s="340"/>
      <c r="Y46" s="339"/>
      <c r="Z46" s="341"/>
      <c r="AA46" s="341" t="s">
        <v>186</v>
      </c>
      <c r="AB46" s="341" t="s">
        <v>266</v>
      </c>
      <c r="AC46" s="341"/>
      <c r="AD46" s="295" t="s">
        <v>290</v>
      </c>
      <c r="AE46" s="614"/>
      <c r="AF46" s="614"/>
      <c r="AG46" s="972"/>
      <c r="AH46" s="306"/>
      <c r="AI46" s="628"/>
      <c r="AJ46" s="306"/>
      <c r="AK46" s="306"/>
      <c r="AL46" s="306"/>
      <c r="AM46" s="306"/>
      <c r="AN46" s="306"/>
      <c r="AO46" s="306"/>
      <c r="AP46" s="306"/>
      <c r="AQ46" s="230"/>
      <c r="AR46" s="230"/>
      <c r="AS46" s="230"/>
      <c r="AT46" s="230" t="s">
        <v>187</v>
      </c>
      <c r="AU46" s="342" t="s">
        <v>187</v>
      </c>
      <c r="AV46" s="342" t="s">
        <v>187</v>
      </c>
      <c r="AW46" s="342" t="s">
        <v>187</v>
      </c>
      <c r="AX46" s="860"/>
      <c r="AY46" s="343" t="s">
        <v>187</v>
      </c>
      <c r="AZ46" s="605">
        <v>25</v>
      </c>
      <c r="BA46" s="344"/>
      <c r="BB46" s="344"/>
      <c r="BC46" s="345"/>
      <c r="BD46" s="345"/>
      <c r="BE46" s="345"/>
      <c r="BF46" s="344"/>
      <c r="BG46" s="230" t="s">
        <v>187</v>
      </c>
      <c r="BH46" s="342" t="s">
        <v>187</v>
      </c>
      <c r="BI46" s="342" t="s">
        <v>187</v>
      </c>
      <c r="BJ46" s="342" t="s">
        <v>187</v>
      </c>
      <c r="BK46" s="343" t="s">
        <v>187</v>
      </c>
      <c r="BL46" s="822"/>
      <c r="BM46" s="335"/>
      <c r="BN46" s="1305"/>
      <c r="BO46" s="1305"/>
      <c r="BP46" s="336"/>
      <c r="BQ46" s="1305"/>
      <c r="BR46" s="1305"/>
      <c r="BS46" s="337"/>
      <c r="BT46" s="760"/>
      <c r="BU46" s="1305"/>
      <c r="BV46" s="1305"/>
      <c r="BW46" s="1305"/>
      <c r="BX46" s="1305"/>
      <c r="BY46" s="206"/>
      <c r="BZ46" s="1305"/>
      <c r="CA46" s="1305"/>
      <c r="CB46" s="206"/>
      <c r="CC46" s="1305"/>
      <c r="CD46" s="1305"/>
      <c r="CE46" s="206"/>
      <c r="CF46" s="1307"/>
      <c r="CG46" s="206"/>
      <c r="CH46" s="1307"/>
      <c r="CI46" s="206"/>
      <c r="CJ46" s="337"/>
      <c r="CK46" s="208"/>
      <c r="CL46" s="1267"/>
      <c r="CM46" s="1310"/>
      <c r="CN46" s="1276"/>
      <c r="CO46" s="1261"/>
      <c r="CP46" s="1296"/>
      <c r="CQ46" s="1276"/>
      <c r="CR46" s="1261"/>
      <c r="CS46" s="1261"/>
      <c r="CT46" s="212"/>
      <c r="CU46" s="793"/>
      <c r="CV46" s="793"/>
      <c r="CW46" s="212"/>
    </row>
    <row r="47" spans="1:101" ht="15.6" x14ac:dyDescent="0.3">
      <c r="A47" s="156"/>
      <c r="B47" s="1237"/>
      <c r="C47" s="1237"/>
      <c r="D47" s="1253"/>
      <c r="E47" s="1237"/>
      <c r="F47" s="1237"/>
      <c r="G47" s="1237"/>
      <c r="H47" s="1237"/>
      <c r="I47" s="1237"/>
      <c r="J47" s="1237"/>
      <c r="K47" s="783"/>
      <c r="L47" s="783"/>
      <c r="M47" s="783"/>
      <c r="N47" s="1237"/>
      <c r="O47" s="1237"/>
      <c r="P47" s="1313"/>
      <c r="Q47" s="1315"/>
      <c r="R47" s="293"/>
      <c r="S47" s="333"/>
      <c r="T47" s="339"/>
      <c r="U47" s="340"/>
      <c r="V47" s="339"/>
      <c r="W47" s="339"/>
      <c r="X47" s="340"/>
      <c r="Y47" s="339"/>
      <c r="Z47" s="346"/>
      <c r="AA47" s="347"/>
      <c r="AB47" s="347"/>
      <c r="AC47" s="347" t="s">
        <v>186</v>
      </c>
      <c r="AD47" s="295" t="s">
        <v>291</v>
      </c>
      <c r="AE47" s="614" t="s">
        <v>87</v>
      </c>
      <c r="AF47" s="614"/>
      <c r="AG47" s="973">
        <v>0.67600000000000005</v>
      </c>
      <c r="AH47" s="308">
        <v>0.67600000000000005</v>
      </c>
      <c r="AI47" s="627">
        <v>0.67600000000000005</v>
      </c>
      <c r="AJ47" s="308">
        <v>0.67600000000000005</v>
      </c>
      <c r="AK47" s="308">
        <f>AI47</f>
        <v>0.67600000000000005</v>
      </c>
      <c r="AL47" s="308">
        <f>AJ47</f>
        <v>0.67600000000000005</v>
      </c>
      <c r="AM47" s="308">
        <v>0.67600000000000005</v>
      </c>
      <c r="AN47" s="308" t="e">
        <f>#REF!</f>
        <v>#REF!</v>
      </c>
      <c r="AO47" s="308">
        <v>0.67600000000000005</v>
      </c>
      <c r="AP47" s="308">
        <f>AL47</f>
        <v>0.67600000000000005</v>
      </c>
      <c r="AQ47" s="307"/>
      <c r="AR47" s="307"/>
      <c r="AS47" s="307"/>
      <c r="AT47" s="230" t="s">
        <v>187</v>
      </c>
      <c r="AU47" s="342" t="s">
        <v>187</v>
      </c>
      <c r="AV47" s="342" t="s">
        <v>187</v>
      </c>
      <c r="AW47" s="342" t="s">
        <v>187</v>
      </c>
      <c r="AX47" s="860"/>
      <c r="AY47" s="343" t="s">
        <v>187</v>
      </c>
      <c r="AZ47" s="605">
        <v>26</v>
      </c>
      <c r="BA47" s="299">
        <f>1000*0.009051/3.3</f>
        <v>2.7427272727272731</v>
      </c>
      <c r="BB47" s="299">
        <v>2.7427272727272731</v>
      </c>
      <c r="BC47" s="308">
        <v>2.7427272727272731</v>
      </c>
      <c r="BD47" s="308">
        <v>2.7427272727272731</v>
      </c>
      <c r="BE47" s="308">
        <v>2.7427272727272731</v>
      </c>
      <c r="BF47" s="307">
        <v>2.7427272727272731</v>
      </c>
      <c r="BG47" s="230" t="s">
        <v>187</v>
      </c>
      <c r="BH47" s="342" t="s">
        <v>187</v>
      </c>
      <c r="BI47" s="342" t="s">
        <v>187</v>
      </c>
      <c r="BJ47" s="342" t="s">
        <v>187</v>
      </c>
      <c r="BK47" s="343" t="s">
        <v>187</v>
      </c>
      <c r="BL47" s="822"/>
      <c r="BM47" s="335"/>
      <c r="BN47" s="1305"/>
      <c r="BO47" s="1305"/>
      <c r="BP47" s="336"/>
      <c r="BQ47" s="1305"/>
      <c r="BR47" s="1305"/>
      <c r="BS47" s="337"/>
      <c r="BT47" s="760"/>
      <c r="BU47" s="1305"/>
      <c r="BV47" s="1305"/>
      <c r="BW47" s="1305"/>
      <c r="BX47" s="1305"/>
      <c r="BY47" s="206"/>
      <c r="BZ47" s="1305"/>
      <c r="CA47" s="1305"/>
      <c r="CB47" s="206"/>
      <c r="CC47" s="1305"/>
      <c r="CD47" s="1305"/>
      <c r="CE47" s="206"/>
      <c r="CF47" s="1307"/>
      <c r="CG47" s="206"/>
      <c r="CH47" s="1307"/>
      <c r="CI47" s="206"/>
      <c r="CJ47" s="337"/>
      <c r="CK47" s="208"/>
      <c r="CL47" s="1267"/>
      <c r="CM47" s="1310"/>
      <c r="CN47" s="1276"/>
      <c r="CO47" s="1261"/>
      <c r="CP47" s="1296"/>
      <c r="CQ47" s="1276"/>
      <c r="CR47" s="1261"/>
      <c r="CS47" s="1261"/>
      <c r="CT47" s="212"/>
      <c r="CU47" s="793"/>
      <c r="CV47" s="793"/>
      <c r="CW47" s="212"/>
    </row>
    <row r="48" spans="1:101" ht="15.6" x14ac:dyDescent="0.3">
      <c r="A48" s="156"/>
      <c r="B48" s="1237"/>
      <c r="C48" s="1237"/>
      <c r="D48" s="1253"/>
      <c r="E48" s="1237"/>
      <c r="F48" s="1237"/>
      <c r="G48" s="1237"/>
      <c r="H48" s="1237"/>
      <c r="I48" s="1237"/>
      <c r="J48" s="1237"/>
      <c r="K48" s="783"/>
      <c r="L48" s="783"/>
      <c r="M48" s="783"/>
      <c r="N48" s="1237"/>
      <c r="O48" s="1237"/>
      <c r="P48" s="1313"/>
      <c r="Q48" s="1315"/>
      <c r="R48" s="293"/>
      <c r="S48" s="333"/>
      <c r="T48" s="339"/>
      <c r="U48" s="340"/>
      <c r="V48" s="339"/>
      <c r="W48" s="339"/>
      <c r="X48" s="340"/>
      <c r="Y48" s="339"/>
      <c r="Z48" s="346"/>
      <c r="AA48" s="347"/>
      <c r="AB48" s="347"/>
      <c r="AC48" s="347"/>
      <c r="AD48" s="295" t="s">
        <v>292</v>
      </c>
      <c r="AE48" s="614" t="s">
        <v>405</v>
      </c>
      <c r="AF48" s="614"/>
      <c r="AG48" s="973">
        <v>0.2</v>
      </c>
      <c r="AH48" s="308">
        <v>0.2</v>
      </c>
      <c r="AI48" s="627">
        <v>0.2</v>
      </c>
      <c r="AJ48" s="308">
        <v>0.2</v>
      </c>
      <c r="AK48" s="308">
        <f>AI48</f>
        <v>0.2</v>
      </c>
      <c r="AL48" s="308">
        <f>AJ48</f>
        <v>0.2</v>
      </c>
      <c r="AM48" s="308">
        <v>0.2</v>
      </c>
      <c r="AN48" s="308" t="e">
        <f>#REF!</f>
        <v>#REF!</v>
      </c>
      <c r="AO48" s="308">
        <v>0.2</v>
      </c>
      <c r="AP48" s="308">
        <f>AL48</f>
        <v>0.2</v>
      </c>
      <c r="AQ48" s="307"/>
      <c r="AR48" s="307"/>
      <c r="AS48" s="307"/>
      <c r="AT48" s="230" t="s">
        <v>187</v>
      </c>
      <c r="AU48" s="342" t="s">
        <v>187</v>
      </c>
      <c r="AV48" s="342" t="s">
        <v>187</v>
      </c>
      <c r="AW48" s="342" t="s">
        <v>187</v>
      </c>
      <c r="AX48" s="860"/>
      <c r="AY48" s="343" t="s">
        <v>187</v>
      </c>
      <c r="AZ48" s="605">
        <v>27</v>
      </c>
      <c r="BA48" s="299">
        <v>0</v>
      </c>
      <c r="BB48" s="299">
        <v>0</v>
      </c>
      <c r="BC48" s="308">
        <v>0</v>
      </c>
      <c r="BD48" s="308">
        <v>0</v>
      </c>
      <c r="BE48" s="308">
        <v>0</v>
      </c>
      <c r="BF48" s="307">
        <v>0</v>
      </c>
      <c r="BG48" s="230" t="s">
        <v>187</v>
      </c>
      <c r="BH48" s="342" t="s">
        <v>187</v>
      </c>
      <c r="BI48" s="342" t="s">
        <v>187</v>
      </c>
      <c r="BJ48" s="342" t="s">
        <v>187</v>
      </c>
      <c r="BK48" s="343" t="s">
        <v>187</v>
      </c>
      <c r="BL48" s="822"/>
      <c r="BM48" s="335"/>
      <c r="BN48" s="1305"/>
      <c r="BO48" s="1305"/>
      <c r="BP48" s="336"/>
      <c r="BQ48" s="1305"/>
      <c r="BR48" s="1305"/>
      <c r="BS48" s="337"/>
      <c r="BT48" s="760"/>
      <c r="BU48" s="1305"/>
      <c r="BV48" s="1305"/>
      <c r="BW48" s="1305"/>
      <c r="BX48" s="1305"/>
      <c r="BY48" s="206"/>
      <c r="BZ48" s="1305"/>
      <c r="CA48" s="1305"/>
      <c r="CB48" s="206"/>
      <c r="CC48" s="1305"/>
      <c r="CD48" s="1305"/>
      <c r="CE48" s="206"/>
      <c r="CF48" s="1307"/>
      <c r="CG48" s="206"/>
      <c r="CH48" s="1307"/>
      <c r="CI48" s="206"/>
      <c r="CJ48" s="337"/>
      <c r="CK48" s="208"/>
      <c r="CL48" s="1267"/>
      <c r="CM48" s="1310"/>
      <c r="CN48" s="1276"/>
      <c r="CO48" s="1261"/>
      <c r="CP48" s="1296"/>
      <c r="CQ48" s="1276"/>
      <c r="CR48" s="1261"/>
      <c r="CS48" s="1261"/>
      <c r="CT48" s="212"/>
      <c r="CU48" s="793"/>
      <c r="CV48" s="793"/>
      <c r="CW48" s="212"/>
    </row>
    <row r="49" spans="1:101" ht="15.6" x14ac:dyDescent="0.3">
      <c r="A49" s="156"/>
      <c r="B49" s="1237"/>
      <c r="C49" s="1237"/>
      <c r="D49" s="1253"/>
      <c r="E49" s="1237"/>
      <c r="F49" s="1237"/>
      <c r="G49" s="1237"/>
      <c r="H49" s="1237"/>
      <c r="I49" s="1237"/>
      <c r="J49" s="1237"/>
      <c r="K49" s="783"/>
      <c r="L49" s="783"/>
      <c r="M49" s="783"/>
      <c r="N49" s="1237"/>
      <c r="O49" s="1237"/>
      <c r="P49" s="1313"/>
      <c r="Q49" s="1315"/>
      <c r="R49" s="293"/>
      <c r="S49" s="339"/>
      <c r="T49" s="339"/>
      <c r="U49" s="339"/>
      <c r="V49" s="339"/>
      <c r="W49" s="339"/>
      <c r="X49" s="339"/>
      <c r="Y49" s="339"/>
      <c r="Z49" s="346"/>
      <c r="AA49" s="347"/>
      <c r="AB49" s="347"/>
      <c r="AC49" s="347"/>
      <c r="AD49" s="295" t="s">
        <v>471</v>
      </c>
      <c r="AE49" s="614" t="s">
        <v>472</v>
      </c>
      <c r="AF49" s="614"/>
      <c r="AG49" s="973"/>
      <c r="AH49" s="308"/>
      <c r="AI49" s="627"/>
      <c r="AJ49" s="308"/>
      <c r="AK49" s="308"/>
      <c r="AL49" s="308"/>
      <c r="AM49" s="308"/>
      <c r="AN49" s="308"/>
      <c r="AO49" s="308"/>
      <c r="AP49" s="308"/>
      <c r="AQ49" s="307"/>
      <c r="AR49" s="307"/>
      <c r="AS49" s="307"/>
      <c r="AT49" s="230"/>
      <c r="AU49" s="342"/>
      <c r="AV49" s="342"/>
      <c r="AW49" s="342"/>
      <c r="AX49" s="860"/>
      <c r="AY49" s="343"/>
      <c r="AZ49" s="605"/>
      <c r="BA49" s="299"/>
      <c r="BB49" s="299"/>
      <c r="BC49" s="308"/>
      <c r="BD49" s="308"/>
      <c r="BE49" s="308"/>
      <c r="BF49" s="307"/>
      <c r="BG49" s="230"/>
      <c r="BH49" s="342"/>
      <c r="BI49" s="342"/>
      <c r="BJ49" s="342"/>
      <c r="BK49" s="343"/>
      <c r="BL49" s="822"/>
      <c r="BM49" s="335"/>
      <c r="BN49" s="1305"/>
      <c r="BO49" s="1305"/>
      <c r="BP49" s="336"/>
      <c r="BQ49" s="1305"/>
      <c r="BR49" s="1305"/>
      <c r="BS49" s="337"/>
      <c r="BT49" s="760"/>
      <c r="BU49" s="1305"/>
      <c r="BV49" s="1305"/>
      <c r="BW49" s="1305"/>
      <c r="BX49" s="1305"/>
      <c r="BY49" s="206"/>
      <c r="BZ49" s="1305"/>
      <c r="CA49" s="1305"/>
      <c r="CB49" s="206"/>
      <c r="CC49" s="1305"/>
      <c r="CD49" s="1305"/>
      <c r="CE49" s="206"/>
      <c r="CF49" s="1307"/>
      <c r="CG49" s="206"/>
      <c r="CH49" s="1307"/>
      <c r="CI49" s="206"/>
      <c r="CJ49" s="337"/>
      <c r="CK49" s="208"/>
      <c r="CL49" s="1267"/>
      <c r="CM49" s="1310"/>
      <c r="CN49" s="1276"/>
      <c r="CO49" s="1261"/>
      <c r="CP49" s="1296"/>
      <c r="CQ49" s="1276"/>
      <c r="CR49" s="1261"/>
      <c r="CS49" s="1261"/>
      <c r="CT49" s="212"/>
      <c r="CU49" s="793"/>
      <c r="CV49" s="793"/>
      <c r="CW49" s="212"/>
    </row>
    <row r="50" spans="1:101" ht="15.6" x14ac:dyDescent="0.3">
      <c r="A50" s="156"/>
      <c r="B50" s="1237"/>
      <c r="C50" s="1237"/>
      <c r="D50" s="1253"/>
      <c r="E50" s="1237"/>
      <c r="F50" s="1237"/>
      <c r="G50" s="1237"/>
      <c r="H50" s="1237"/>
      <c r="I50" s="1237"/>
      <c r="J50" s="1237"/>
      <c r="K50" s="783"/>
      <c r="L50" s="783"/>
      <c r="M50" s="783"/>
      <c r="N50" s="1237"/>
      <c r="O50" s="1237"/>
      <c r="P50" s="1313"/>
      <c r="Q50" s="1315"/>
      <c r="R50" s="293"/>
      <c r="S50" s="349" t="s">
        <v>33</v>
      </c>
      <c r="T50" s="349" t="s">
        <v>33</v>
      </c>
      <c r="U50" s="349" t="s">
        <v>33</v>
      </c>
      <c r="V50" s="349" t="s">
        <v>33</v>
      </c>
      <c r="W50" s="349" t="s">
        <v>444</v>
      </c>
      <c r="X50" s="349" t="s">
        <v>444</v>
      </c>
      <c r="Y50" s="349" t="s">
        <v>33</v>
      </c>
      <c r="Z50" s="346"/>
      <c r="AA50" s="347"/>
      <c r="AB50" s="347"/>
      <c r="AC50" s="347" t="s">
        <v>186</v>
      </c>
      <c r="AD50" s="295" t="s">
        <v>58</v>
      </c>
      <c r="AE50" s="614" t="s">
        <v>68</v>
      </c>
      <c r="AF50" s="614"/>
      <c r="AG50" s="974">
        <v>6.0000000000000001E-3</v>
      </c>
      <c r="AH50" s="351">
        <v>6.0000000000000001E-3</v>
      </c>
      <c r="AI50" s="626">
        <v>6.0000000000000001E-3</v>
      </c>
      <c r="AJ50" s="351">
        <v>6.0000000000000001E-3</v>
      </c>
      <c r="AK50" s="351">
        <f t="shared" ref="AK50:AL75" si="3">AI50</f>
        <v>6.0000000000000001E-3</v>
      </c>
      <c r="AL50" s="351">
        <f t="shared" si="3"/>
        <v>6.0000000000000001E-3</v>
      </c>
      <c r="AM50" s="351">
        <v>6.0000000000000001E-3</v>
      </c>
      <c r="AN50" s="351" t="e">
        <f>#REF!</f>
        <v>#REF!</v>
      </c>
      <c r="AO50" s="351">
        <v>6.0000000000000001E-3</v>
      </c>
      <c r="AP50" s="351">
        <f>AL50</f>
        <v>6.0000000000000001E-3</v>
      </c>
      <c r="AQ50" s="350"/>
      <c r="AR50" s="350"/>
      <c r="AS50" s="350"/>
      <c r="AT50" s="230" t="s">
        <v>187</v>
      </c>
      <c r="AU50" s="342" t="s">
        <v>187</v>
      </c>
      <c r="AV50" s="342" t="s">
        <v>187</v>
      </c>
      <c r="AW50" s="342" t="s">
        <v>187</v>
      </c>
      <c r="AX50" s="860"/>
      <c r="AY50" s="343" t="s">
        <v>187</v>
      </c>
      <c r="AZ50" s="605">
        <v>28</v>
      </c>
      <c r="BA50" s="299">
        <f>0.1*4</f>
        <v>0.4</v>
      </c>
      <c r="BB50" s="299">
        <v>0.4</v>
      </c>
      <c r="BC50" s="300">
        <v>0.4</v>
      </c>
      <c r="BD50" s="300">
        <v>0.4</v>
      </c>
      <c r="BE50" s="300">
        <v>0.4</v>
      </c>
      <c r="BF50" s="299">
        <v>0.4</v>
      </c>
      <c r="BG50" s="230" t="s">
        <v>187</v>
      </c>
      <c r="BH50" s="342" t="s">
        <v>187</v>
      </c>
      <c r="BI50" s="342" t="s">
        <v>187</v>
      </c>
      <c r="BJ50" s="342" t="s">
        <v>187</v>
      </c>
      <c r="BK50" s="343" t="s">
        <v>187</v>
      </c>
      <c r="BL50" s="822"/>
      <c r="BM50" s="335"/>
      <c r="BN50" s="1305"/>
      <c r="BO50" s="1305"/>
      <c r="BP50" s="336"/>
      <c r="BQ50" s="1305"/>
      <c r="BR50" s="1305"/>
      <c r="BS50" s="337"/>
      <c r="BT50" s="760"/>
      <c r="BU50" s="1305"/>
      <c r="BV50" s="1305"/>
      <c r="BW50" s="1305"/>
      <c r="BX50" s="1305"/>
      <c r="BY50" s="206"/>
      <c r="BZ50" s="1305"/>
      <c r="CA50" s="1305"/>
      <c r="CB50" s="206"/>
      <c r="CC50" s="1305"/>
      <c r="CD50" s="1305"/>
      <c r="CE50" s="206"/>
      <c r="CF50" s="1307"/>
      <c r="CG50" s="206"/>
      <c r="CH50" s="1307"/>
      <c r="CI50" s="206"/>
      <c r="CJ50" s="337"/>
      <c r="CK50" s="208"/>
      <c r="CL50" s="1267"/>
      <c r="CM50" s="1310"/>
      <c r="CN50" s="1276"/>
      <c r="CO50" s="1261"/>
      <c r="CP50" s="1296"/>
      <c r="CQ50" s="1276"/>
      <c r="CR50" s="1261"/>
      <c r="CS50" s="1261"/>
      <c r="CT50" s="212"/>
      <c r="CU50" s="793"/>
      <c r="CV50" s="793"/>
      <c r="CW50" s="212"/>
    </row>
    <row r="51" spans="1:101" ht="15.6" x14ac:dyDescent="0.3">
      <c r="A51" s="156"/>
      <c r="B51" s="1237"/>
      <c r="C51" s="1237"/>
      <c r="D51" s="1253"/>
      <c r="E51" s="1237"/>
      <c r="F51" s="1237"/>
      <c r="G51" s="1237"/>
      <c r="H51" s="1237"/>
      <c r="I51" s="1237"/>
      <c r="J51" s="1237"/>
      <c r="K51" s="783"/>
      <c r="L51" s="783"/>
      <c r="M51" s="783"/>
      <c r="N51" s="1237"/>
      <c r="O51" s="1237"/>
      <c r="P51" s="1313"/>
      <c r="Q51" s="1315"/>
      <c r="R51" s="293"/>
      <c r="S51" s="349" t="s">
        <v>33</v>
      </c>
      <c r="T51" s="349" t="s">
        <v>33</v>
      </c>
      <c r="U51" s="349" t="s">
        <v>33</v>
      </c>
      <c r="V51" s="349" t="s">
        <v>33</v>
      </c>
      <c r="W51" s="349" t="s">
        <v>444</v>
      </c>
      <c r="X51" s="349" t="s">
        <v>444</v>
      </c>
      <c r="Y51" s="349" t="s">
        <v>33</v>
      </c>
      <c r="Z51" s="346"/>
      <c r="AA51" s="347"/>
      <c r="AB51" s="347"/>
      <c r="AC51" s="347" t="s">
        <v>186</v>
      </c>
      <c r="AD51" s="295" t="s">
        <v>293</v>
      </c>
      <c r="AE51" s="614" t="s">
        <v>85</v>
      </c>
      <c r="AF51" s="614" t="s">
        <v>473</v>
      </c>
      <c r="AG51" s="974">
        <v>2.07E-2</v>
      </c>
      <c r="AH51" s="351">
        <v>2.07E-2</v>
      </c>
      <c r="AI51" s="626">
        <v>2.07E-2</v>
      </c>
      <c r="AJ51" s="351">
        <v>2.07E-2</v>
      </c>
      <c r="AK51" s="351">
        <f t="shared" si="3"/>
        <v>2.07E-2</v>
      </c>
      <c r="AL51" s="351">
        <f t="shared" si="3"/>
        <v>2.07E-2</v>
      </c>
      <c r="AM51" s="351">
        <v>2.07E-2</v>
      </c>
      <c r="AN51" s="351" t="e">
        <f>#REF!</f>
        <v>#REF!</v>
      </c>
      <c r="AO51" s="351">
        <v>2.07E-2</v>
      </c>
      <c r="AP51" s="351">
        <f>AL51</f>
        <v>2.07E-2</v>
      </c>
      <c r="AQ51" s="350"/>
      <c r="AR51" s="350"/>
      <c r="AS51" s="350"/>
      <c r="AT51" s="230" t="s">
        <v>187</v>
      </c>
      <c r="AU51" s="342" t="s">
        <v>187</v>
      </c>
      <c r="AV51" s="342" t="s">
        <v>187</v>
      </c>
      <c r="AW51" s="342" t="s">
        <v>187</v>
      </c>
      <c r="AX51" s="860"/>
      <c r="AY51" s="343" t="s">
        <v>187</v>
      </c>
      <c r="AZ51" s="605">
        <v>29</v>
      </c>
      <c r="BA51" s="299">
        <v>0.39</v>
      </c>
      <c r="BB51" s="299">
        <v>0.39</v>
      </c>
      <c r="BC51" s="300">
        <v>0.39</v>
      </c>
      <c r="BD51" s="300">
        <v>0.39</v>
      </c>
      <c r="BE51" s="300">
        <v>0.39</v>
      </c>
      <c r="BF51" s="299">
        <v>0.39</v>
      </c>
      <c r="BG51" s="230" t="s">
        <v>187</v>
      </c>
      <c r="BH51" s="342" t="s">
        <v>187</v>
      </c>
      <c r="BI51" s="342" t="s">
        <v>187</v>
      </c>
      <c r="BJ51" s="342" t="s">
        <v>187</v>
      </c>
      <c r="BK51" s="343" t="s">
        <v>187</v>
      </c>
      <c r="BL51" s="822"/>
      <c r="BM51" s="335"/>
      <c r="BN51" s="1305"/>
      <c r="BO51" s="1305"/>
      <c r="BP51" s="336"/>
      <c r="BQ51" s="1305"/>
      <c r="BR51" s="1305"/>
      <c r="BS51" s="337"/>
      <c r="BT51" s="760"/>
      <c r="BU51" s="1305"/>
      <c r="BV51" s="1305"/>
      <c r="BW51" s="1305"/>
      <c r="BX51" s="1305"/>
      <c r="BY51" s="206"/>
      <c r="BZ51" s="1305"/>
      <c r="CA51" s="1305"/>
      <c r="CB51" s="206"/>
      <c r="CC51" s="1305"/>
      <c r="CD51" s="1305"/>
      <c r="CE51" s="206"/>
      <c r="CF51" s="1307"/>
      <c r="CG51" s="206"/>
      <c r="CH51" s="1307"/>
      <c r="CI51" s="206"/>
      <c r="CJ51" s="337"/>
      <c r="CK51" s="208"/>
      <c r="CL51" s="1267"/>
      <c r="CM51" s="1310"/>
      <c r="CN51" s="1276"/>
      <c r="CO51" s="1261"/>
      <c r="CP51" s="1296"/>
      <c r="CQ51" s="1276"/>
      <c r="CR51" s="1261"/>
      <c r="CS51" s="1261"/>
      <c r="CT51" s="212"/>
      <c r="CU51" s="793"/>
      <c r="CV51" s="793"/>
      <c r="CW51" s="212"/>
    </row>
    <row r="52" spans="1:101" ht="26.4" x14ac:dyDescent="0.3">
      <c r="A52" s="156"/>
      <c r="B52" s="1237"/>
      <c r="C52" s="1237"/>
      <c r="D52" s="1253"/>
      <c r="E52" s="1237"/>
      <c r="F52" s="1237"/>
      <c r="G52" s="1237"/>
      <c r="H52" s="1237"/>
      <c r="I52" s="1237"/>
      <c r="J52" s="1237"/>
      <c r="K52" s="783"/>
      <c r="L52" s="783"/>
      <c r="M52" s="783"/>
      <c r="N52" s="1237"/>
      <c r="O52" s="1237"/>
      <c r="P52" s="1313"/>
      <c r="Q52" s="1315"/>
      <c r="R52" s="293"/>
      <c r="S52" s="349" t="s">
        <v>446</v>
      </c>
      <c r="T52" s="349" t="s">
        <v>446</v>
      </c>
      <c r="U52" s="349" t="s">
        <v>446</v>
      </c>
      <c r="V52" s="349" t="s">
        <v>446</v>
      </c>
      <c r="W52" s="349" t="s">
        <v>446</v>
      </c>
      <c r="X52" s="349" t="s">
        <v>446</v>
      </c>
      <c r="Y52" s="349" t="s">
        <v>33</v>
      </c>
      <c r="Z52" s="346"/>
      <c r="AA52" s="347"/>
      <c r="AB52" s="347"/>
      <c r="AC52" s="347" t="s">
        <v>186</v>
      </c>
      <c r="AD52" s="295" t="s">
        <v>70</v>
      </c>
      <c r="AE52" s="614" t="s">
        <v>72</v>
      </c>
      <c r="AF52" s="614"/>
      <c r="AG52" s="974">
        <v>7.0000000000000007E-2</v>
      </c>
      <c r="AH52" s="351">
        <v>7.0000000000000007E-2</v>
      </c>
      <c r="AI52" s="626">
        <v>7.0000000000000007E-2</v>
      </c>
      <c r="AJ52" s="351">
        <v>7.0000000000000007E-2</v>
      </c>
      <c r="AK52" s="351">
        <f t="shared" si="3"/>
        <v>7.0000000000000007E-2</v>
      </c>
      <c r="AL52" s="351">
        <f t="shared" si="3"/>
        <v>7.0000000000000007E-2</v>
      </c>
      <c r="AM52" s="351">
        <v>7.0000000000000007E-2</v>
      </c>
      <c r="AN52" s="351" t="e">
        <f>#REF!</f>
        <v>#REF!</v>
      </c>
      <c r="AO52" s="351">
        <v>7.0000000000000007E-2</v>
      </c>
      <c r="AP52" s="351">
        <f>AL52</f>
        <v>7.0000000000000007E-2</v>
      </c>
      <c r="AQ52" s="350"/>
      <c r="AR52" s="350"/>
      <c r="AS52" s="350"/>
      <c r="AT52" s="230" t="s">
        <v>187</v>
      </c>
      <c r="AU52" s="342" t="s">
        <v>187</v>
      </c>
      <c r="AV52" s="342" t="s">
        <v>187</v>
      </c>
      <c r="AW52" s="342" t="s">
        <v>187</v>
      </c>
      <c r="AX52" s="860"/>
      <c r="AY52" s="343" t="s">
        <v>187</v>
      </c>
      <c r="AZ52" s="605">
        <v>30</v>
      </c>
      <c r="BA52" s="299">
        <v>0.3</v>
      </c>
      <c r="BB52" s="299">
        <v>0.3</v>
      </c>
      <c r="BC52" s="300">
        <v>0.3</v>
      </c>
      <c r="BD52" s="300">
        <v>0.3</v>
      </c>
      <c r="BE52" s="300">
        <v>0.3</v>
      </c>
      <c r="BF52" s="299">
        <v>0.3</v>
      </c>
      <c r="BG52" s="230" t="s">
        <v>187</v>
      </c>
      <c r="BH52" s="342" t="s">
        <v>187</v>
      </c>
      <c r="BI52" s="342" t="s">
        <v>187</v>
      </c>
      <c r="BJ52" s="342" t="s">
        <v>187</v>
      </c>
      <c r="BK52" s="343" t="s">
        <v>187</v>
      </c>
      <c r="BL52" s="822"/>
      <c r="BM52" s="335"/>
      <c r="BN52" s="1305"/>
      <c r="BO52" s="1305"/>
      <c r="BP52" s="336"/>
      <c r="BQ52" s="1305"/>
      <c r="BR52" s="1305"/>
      <c r="BS52" s="337"/>
      <c r="BT52" s="760"/>
      <c r="BU52" s="1305"/>
      <c r="BV52" s="1305"/>
      <c r="BW52" s="1305"/>
      <c r="BX52" s="1305"/>
      <c r="BY52" s="206"/>
      <c r="BZ52" s="1305"/>
      <c r="CA52" s="1305"/>
      <c r="CB52" s="206"/>
      <c r="CC52" s="1305"/>
      <c r="CD52" s="1305"/>
      <c r="CE52" s="206"/>
      <c r="CF52" s="1307"/>
      <c r="CG52" s="206"/>
      <c r="CH52" s="1307"/>
      <c r="CI52" s="206"/>
      <c r="CJ52" s="337"/>
      <c r="CK52" s="208"/>
      <c r="CL52" s="1267"/>
      <c r="CM52" s="1310"/>
      <c r="CN52" s="1276"/>
      <c r="CO52" s="1261"/>
      <c r="CP52" s="1296"/>
      <c r="CQ52" s="1276"/>
      <c r="CR52" s="1261"/>
      <c r="CS52" s="1261"/>
      <c r="CT52" s="212"/>
      <c r="CU52" s="793"/>
      <c r="CV52" s="793"/>
      <c r="CW52" s="212"/>
    </row>
    <row r="53" spans="1:101" ht="26.4" x14ac:dyDescent="0.3">
      <c r="A53" s="156"/>
      <c r="B53" s="1237"/>
      <c r="C53" s="1237"/>
      <c r="D53" s="1253"/>
      <c r="E53" s="1237"/>
      <c r="F53" s="1237"/>
      <c r="G53" s="1237"/>
      <c r="H53" s="1237"/>
      <c r="I53" s="1237"/>
      <c r="J53" s="1237"/>
      <c r="K53" s="783"/>
      <c r="L53" s="783"/>
      <c r="M53" s="783"/>
      <c r="N53" s="1237"/>
      <c r="O53" s="1237"/>
      <c r="P53" s="1313"/>
      <c r="Q53" s="1315"/>
      <c r="R53" s="293"/>
      <c r="S53" s="349" t="s">
        <v>446</v>
      </c>
      <c r="T53" s="349" t="s">
        <v>446</v>
      </c>
      <c r="U53" s="349" t="s">
        <v>446</v>
      </c>
      <c r="V53" s="349" t="s">
        <v>446</v>
      </c>
      <c r="W53" s="349" t="s">
        <v>446</v>
      </c>
      <c r="X53" s="349" t="s">
        <v>446</v>
      </c>
      <c r="Y53" s="349" t="s">
        <v>33</v>
      </c>
      <c r="Z53" s="346"/>
      <c r="AA53" s="347"/>
      <c r="AB53" s="347"/>
      <c r="AC53" s="347" t="s">
        <v>186</v>
      </c>
      <c r="AD53" s="295" t="s">
        <v>294</v>
      </c>
      <c r="AE53" s="614" t="s">
        <v>75</v>
      </c>
      <c r="AF53" s="614"/>
      <c r="AG53" s="974">
        <v>5.9999999999999995E-4</v>
      </c>
      <c r="AH53" s="351">
        <v>5.9999999999999995E-4</v>
      </c>
      <c r="AI53" s="626">
        <v>5.9999999999999995E-4</v>
      </c>
      <c r="AJ53" s="351">
        <v>5.9999999999999995E-4</v>
      </c>
      <c r="AK53" s="351">
        <f t="shared" si="3"/>
        <v>5.9999999999999995E-4</v>
      </c>
      <c r="AL53" s="351">
        <f t="shared" si="3"/>
        <v>5.9999999999999995E-4</v>
      </c>
      <c r="AM53" s="351">
        <v>5.9999999999999995E-4</v>
      </c>
      <c r="AN53" s="351" t="e">
        <f>#REF!</f>
        <v>#REF!</v>
      </c>
      <c r="AO53" s="351">
        <v>5.9999999999999995E-4</v>
      </c>
      <c r="AP53" s="351">
        <f>AL53</f>
        <v>5.9999999999999995E-4</v>
      </c>
      <c r="AQ53" s="350"/>
      <c r="AR53" s="350"/>
      <c r="AS53" s="350"/>
      <c r="AT53" s="230" t="s">
        <v>187</v>
      </c>
      <c r="AU53" s="342" t="s">
        <v>187</v>
      </c>
      <c r="AV53" s="342" t="s">
        <v>187</v>
      </c>
      <c r="AW53" s="342" t="s">
        <v>187</v>
      </c>
      <c r="AX53" s="860"/>
      <c r="AY53" s="343" t="s">
        <v>187</v>
      </c>
      <c r="AZ53" s="605">
        <v>31</v>
      </c>
      <c r="BA53" s="299">
        <v>0</v>
      </c>
      <c r="BB53" s="299">
        <v>0</v>
      </c>
      <c r="BC53" s="300">
        <v>0</v>
      </c>
      <c r="BD53" s="300">
        <v>0</v>
      </c>
      <c r="BE53" s="300">
        <v>0</v>
      </c>
      <c r="BF53" s="299">
        <v>0</v>
      </c>
      <c r="BG53" s="230" t="s">
        <v>187</v>
      </c>
      <c r="BH53" s="342" t="s">
        <v>187</v>
      </c>
      <c r="BI53" s="342" t="s">
        <v>187</v>
      </c>
      <c r="BJ53" s="342" t="s">
        <v>187</v>
      </c>
      <c r="BK53" s="343" t="s">
        <v>187</v>
      </c>
      <c r="BL53" s="822"/>
      <c r="BM53" s="335"/>
      <c r="BN53" s="1305"/>
      <c r="BO53" s="1305"/>
      <c r="BP53" s="336"/>
      <c r="BQ53" s="1305"/>
      <c r="BR53" s="1305"/>
      <c r="BS53" s="337"/>
      <c r="BT53" s="760"/>
      <c r="BU53" s="1305"/>
      <c r="BV53" s="1305"/>
      <c r="BW53" s="1305"/>
      <c r="BX53" s="1305"/>
      <c r="BY53" s="206"/>
      <c r="BZ53" s="1305"/>
      <c r="CA53" s="1305"/>
      <c r="CB53" s="206"/>
      <c r="CC53" s="1305"/>
      <c r="CD53" s="1305"/>
      <c r="CE53" s="206"/>
      <c r="CF53" s="1307"/>
      <c r="CG53" s="206"/>
      <c r="CH53" s="1307"/>
      <c r="CI53" s="206"/>
      <c r="CJ53" s="337"/>
      <c r="CK53" s="208"/>
      <c r="CL53" s="1267"/>
      <c r="CM53" s="1310"/>
      <c r="CN53" s="1276"/>
      <c r="CO53" s="1261"/>
      <c r="CP53" s="1296"/>
      <c r="CQ53" s="1276"/>
      <c r="CR53" s="1261"/>
      <c r="CS53" s="1261"/>
      <c r="CT53" s="212"/>
      <c r="CU53" s="793"/>
      <c r="CV53" s="793"/>
      <c r="CW53" s="212"/>
    </row>
    <row r="54" spans="1:101" ht="15.6" x14ac:dyDescent="0.3">
      <c r="A54" s="156"/>
      <c r="B54" s="1237"/>
      <c r="C54" s="1237"/>
      <c r="D54" s="1253"/>
      <c r="E54" s="1237"/>
      <c r="F54" s="1237"/>
      <c r="G54" s="1237"/>
      <c r="H54" s="1237"/>
      <c r="I54" s="1237"/>
      <c r="J54" s="1237"/>
      <c r="K54" s="783"/>
      <c r="L54" s="783"/>
      <c r="M54" s="783"/>
      <c r="N54" s="1237"/>
      <c r="O54" s="1237"/>
      <c r="P54" s="1313"/>
      <c r="Q54" s="1315"/>
      <c r="R54" s="293"/>
      <c r="S54" s="349"/>
      <c r="T54" s="349"/>
      <c r="U54" s="349"/>
      <c r="V54" s="349"/>
      <c r="W54" s="349" t="s">
        <v>474</v>
      </c>
      <c r="X54" s="349" t="s">
        <v>474</v>
      </c>
      <c r="Y54" s="349"/>
      <c r="Z54" s="346"/>
      <c r="AA54" s="347"/>
      <c r="AB54" s="347"/>
      <c r="AC54" s="347" t="s">
        <v>186</v>
      </c>
      <c r="AD54" s="295"/>
      <c r="AE54" s="614" t="s">
        <v>475</v>
      </c>
      <c r="AF54" s="614"/>
      <c r="AG54" s="974"/>
      <c r="AH54" s="351"/>
      <c r="AI54" s="626"/>
      <c r="AJ54" s="351"/>
      <c r="AK54" s="351"/>
      <c r="AL54" s="351"/>
      <c r="AM54" s="351"/>
      <c r="AN54" s="351"/>
      <c r="AO54" s="351"/>
      <c r="AP54" s="351"/>
      <c r="AQ54" s="350"/>
      <c r="AR54" s="350"/>
      <c r="AS54" s="350"/>
      <c r="AT54" s="230"/>
      <c r="AU54" s="342"/>
      <c r="AV54" s="342"/>
      <c r="AW54" s="342"/>
      <c r="AX54" s="860"/>
      <c r="AY54" s="343"/>
      <c r="AZ54" s="605"/>
      <c r="BA54" s="299"/>
      <c r="BB54" s="299"/>
      <c r="BC54" s="300"/>
      <c r="BD54" s="300"/>
      <c r="BE54" s="300"/>
      <c r="BF54" s="299"/>
      <c r="BG54" s="230"/>
      <c r="BH54" s="342"/>
      <c r="BI54" s="342"/>
      <c r="BJ54" s="342"/>
      <c r="BK54" s="343"/>
      <c r="BL54" s="822"/>
      <c r="BM54" s="335"/>
      <c r="BN54" s="1305"/>
      <c r="BO54" s="1305"/>
      <c r="BP54" s="336"/>
      <c r="BQ54" s="1305"/>
      <c r="BR54" s="1305"/>
      <c r="BS54" s="337"/>
      <c r="BT54" s="760"/>
      <c r="BU54" s="1305"/>
      <c r="BV54" s="1305"/>
      <c r="BW54" s="1305"/>
      <c r="BX54" s="1305"/>
      <c r="BY54" s="206"/>
      <c r="BZ54" s="1305"/>
      <c r="CA54" s="1305"/>
      <c r="CB54" s="206"/>
      <c r="CC54" s="1305"/>
      <c r="CD54" s="1305"/>
      <c r="CE54" s="206"/>
      <c r="CF54" s="1307"/>
      <c r="CG54" s="206"/>
      <c r="CH54" s="1307"/>
      <c r="CI54" s="206"/>
      <c r="CJ54" s="337"/>
      <c r="CK54" s="208"/>
      <c r="CL54" s="1267"/>
      <c r="CM54" s="1310"/>
      <c r="CN54" s="1276"/>
      <c r="CO54" s="1261"/>
      <c r="CP54" s="1296"/>
      <c r="CQ54" s="1276"/>
      <c r="CR54" s="1261"/>
      <c r="CS54" s="1261"/>
      <c r="CT54" s="212"/>
      <c r="CU54" s="793"/>
      <c r="CV54" s="793"/>
      <c r="CW54" s="212"/>
    </row>
    <row r="55" spans="1:101" ht="15.6" x14ac:dyDescent="0.3">
      <c r="A55" s="156"/>
      <c r="B55" s="1237"/>
      <c r="C55" s="1237"/>
      <c r="D55" s="1253"/>
      <c r="E55" s="1237"/>
      <c r="F55" s="1237"/>
      <c r="G55" s="1237"/>
      <c r="H55" s="1237"/>
      <c r="I55" s="1237"/>
      <c r="J55" s="1237"/>
      <c r="K55" s="783"/>
      <c r="L55" s="783"/>
      <c r="M55" s="783"/>
      <c r="N55" s="1237"/>
      <c r="O55" s="1237"/>
      <c r="P55" s="1313"/>
      <c r="Q55" s="1315"/>
      <c r="R55" s="293"/>
      <c r="S55" s="347" t="s">
        <v>414</v>
      </c>
      <c r="T55" s="349" t="s">
        <v>33</v>
      </c>
      <c r="U55" s="347" t="s">
        <v>295</v>
      </c>
      <c r="V55" s="349" t="s">
        <v>33</v>
      </c>
      <c r="W55" s="347" t="s">
        <v>414</v>
      </c>
      <c r="X55" s="347" t="s">
        <v>414</v>
      </c>
      <c r="Y55" s="349" t="s">
        <v>33</v>
      </c>
      <c r="Z55" s="346"/>
      <c r="AA55" s="347"/>
      <c r="AB55" s="347"/>
      <c r="AC55" s="347" t="s">
        <v>186</v>
      </c>
      <c r="AD55" s="295" t="s">
        <v>296</v>
      </c>
      <c r="AE55" s="614" t="s">
        <v>476</v>
      </c>
      <c r="AF55" s="614"/>
      <c r="AG55" s="973">
        <v>7.0000000000000007E-2</v>
      </c>
      <c r="AH55" s="300">
        <v>7.0000000000000007E-2</v>
      </c>
      <c r="AI55" s="627">
        <v>7.0000000000000007E-2</v>
      </c>
      <c r="AJ55" s="300">
        <v>7.0000000000000007E-2</v>
      </c>
      <c r="AK55" s="300">
        <f t="shared" si="3"/>
        <v>7.0000000000000007E-2</v>
      </c>
      <c r="AL55" s="300">
        <f t="shared" si="3"/>
        <v>7.0000000000000007E-2</v>
      </c>
      <c r="AM55" s="300">
        <v>7.0000000000000007E-2</v>
      </c>
      <c r="AN55" s="300" t="e">
        <f>#REF!</f>
        <v>#REF!</v>
      </c>
      <c r="AO55" s="300">
        <v>7.0000000000000007E-2</v>
      </c>
      <c r="AP55" s="300">
        <f>AL55</f>
        <v>7.0000000000000007E-2</v>
      </c>
      <c r="AQ55" s="299"/>
      <c r="AR55" s="299"/>
      <c r="AS55" s="299"/>
      <c r="AT55" s="230" t="s">
        <v>187</v>
      </c>
      <c r="AU55" s="342" t="s">
        <v>187</v>
      </c>
      <c r="AV55" s="342" t="s">
        <v>187</v>
      </c>
      <c r="AW55" s="342" t="s">
        <v>187</v>
      </c>
      <c r="AX55" s="860"/>
      <c r="AY55" s="343" t="s">
        <v>187</v>
      </c>
      <c r="AZ55" s="605">
        <v>32</v>
      </c>
      <c r="BA55" s="299">
        <v>0.1</v>
      </c>
      <c r="BB55" s="299">
        <v>0.1</v>
      </c>
      <c r="BC55" s="300">
        <v>0.1</v>
      </c>
      <c r="BD55" s="300">
        <v>0.1</v>
      </c>
      <c r="BE55" s="300">
        <v>0.1</v>
      </c>
      <c r="BF55" s="299">
        <v>0.1</v>
      </c>
      <c r="BG55" s="230" t="s">
        <v>187</v>
      </c>
      <c r="BH55" s="342" t="s">
        <v>187</v>
      </c>
      <c r="BI55" s="342" t="s">
        <v>187</v>
      </c>
      <c r="BJ55" s="342" t="s">
        <v>187</v>
      </c>
      <c r="BK55" s="343" t="s">
        <v>187</v>
      </c>
      <c r="BL55" s="822"/>
      <c r="BM55" s="335"/>
      <c r="BN55" s="1305"/>
      <c r="BO55" s="1305"/>
      <c r="BP55" s="336"/>
      <c r="BQ55" s="1305"/>
      <c r="BR55" s="1305"/>
      <c r="BS55" s="337"/>
      <c r="BT55" s="760"/>
      <c r="BU55" s="1305"/>
      <c r="BV55" s="1305"/>
      <c r="BW55" s="1305"/>
      <c r="BX55" s="1305"/>
      <c r="BY55" s="206"/>
      <c r="BZ55" s="1305"/>
      <c r="CA55" s="1305"/>
      <c r="CB55" s="206"/>
      <c r="CC55" s="1305"/>
      <c r="CD55" s="1305"/>
      <c r="CE55" s="206"/>
      <c r="CF55" s="1307"/>
      <c r="CG55" s="206"/>
      <c r="CH55" s="1307"/>
      <c r="CI55" s="206"/>
      <c r="CJ55" s="337"/>
      <c r="CK55" s="208"/>
      <c r="CL55" s="1267"/>
      <c r="CM55" s="1310"/>
      <c r="CN55" s="1276"/>
      <c r="CO55" s="1261"/>
      <c r="CP55" s="1296"/>
      <c r="CQ55" s="1276"/>
      <c r="CR55" s="1261"/>
      <c r="CS55" s="1261"/>
      <c r="CT55" s="212"/>
      <c r="CU55" s="793"/>
      <c r="CV55" s="793"/>
      <c r="CW55" s="212"/>
    </row>
    <row r="56" spans="1:101" ht="15.6" x14ac:dyDescent="0.3">
      <c r="A56" s="156"/>
      <c r="B56" s="1237"/>
      <c r="C56" s="1237"/>
      <c r="D56" s="1253"/>
      <c r="E56" s="1237"/>
      <c r="F56" s="1237"/>
      <c r="G56" s="1237"/>
      <c r="H56" s="1237"/>
      <c r="I56" s="1237"/>
      <c r="J56" s="1237"/>
      <c r="K56" s="783"/>
      <c r="L56" s="783"/>
      <c r="M56" s="783"/>
      <c r="N56" s="1237"/>
      <c r="O56" s="1237"/>
      <c r="P56" s="1313"/>
      <c r="Q56" s="1315"/>
      <c r="R56" s="293"/>
      <c r="S56" s="349" t="s">
        <v>33</v>
      </c>
      <c r="T56" s="349" t="s">
        <v>33</v>
      </c>
      <c r="U56" s="349" t="s">
        <v>33</v>
      </c>
      <c r="V56" s="349" t="s">
        <v>33</v>
      </c>
      <c r="W56" s="349" t="s">
        <v>33</v>
      </c>
      <c r="X56" s="349" t="s">
        <v>33</v>
      </c>
      <c r="Y56" s="349" t="s">
        <v>33</v>
      </c>
      <c r="Z56" s="346"/>
      <c r="AA56" s="347"/>
      <c r="AB56" s="347"/>
      <c r="AC56" s="347" t="s">
        <v>186</v>
      </c>
      <c r="AD56" s="295" t="s">
        <v>52</v>
      </c>
      <c r="AE56" s="614" t="s">
        <v>32</v>
      </c>
      <c r="AF56" s="614"/>
      <c r="AG56" s="974">
        <v>6.3E-3</v>
      </c>
      <c r="AH56" s="352">
        <v>6.3E-3</v>
      </c>
      <c r="AI56" s="626">
        <v>6.3E-3</v>
      </c>
      <c r="AJ56" s="352">
        <v>6.3E-3</v>
      </c>
      <c r="AK56" s="352">
        <f t="shared" si="3"/>
        <v>6.3E-3</v>
      </c>
      <c r="AL56" s="352">
        <f t="shared" si="3"/>
        <v>6.3E-3</v>
      </c>
      <c r="AM56" s="352">
        <v>6.3E-3</v>
      </c>
      <c r="AN56" s="352" t="e">
        <f>#REF!</f>
        <v>#REF!</v>
      </c>
      <c r="AO56" s="352">
        <v>6.3E-3</v>
      </c>
      <c r="AP56" s="352">
        <f>AL56</f>
        <v>6.3E-3</v>
      </c>
      <c r="AQ56" s="353"/>
      <c r="AR56" s="353"/>
      <c r="AS56" s="353"/>
      <c r="AT56" s="230" t="s">
        <v>187</v>
      </c>
      <c r="AU56" s="342" t="s">
        <v>187</v>
      </c>
      <c r="AV56" s="342" t="s">
        <v>187</v>
      </c>
      <c r="AW56" s="342" t="s">
        <v>187</v>
      </c>
      <c r="AX56" s="860"/>
      <c r="AY56" s="343" t="s">
        <v>187</v>
      </c>
      <c r="AZ56" s="605">
        <v>33</v>
      </c>
      <c r="BA56" s="299">
        <v>0.35</v>
      </c>
      <c r="BB56" s="299">
        <v>0.35</v>
      </c>
      <c r="BC56" s="308">
        <v>0.35</v>
      </c>
      <c r="BD56" s="308">
        <v>0.35</v>
      </c>
      <c r="BE56" s="308">
        <v>0.35</v>
      </c>
      <c r="BF56" s="307">
        <v>0.35</v>
      </c>
      <c r="BG56" s="230" t="s">
        <v>187</v>
      </c>
      <c r="BH56" s="342" t="s">
        <v>187</v>
      </c>
      <c r="BI56" s="342" t="s">
        <v>187</v>
      </c>
      <c r="BJ56" s="342" t="s">
        <v>187</v>
      </c>
      <c r="BK56" s="343" t="s">
        <v>187</v>
      </c>
      <c r="BL56" s="822"/>
      <c r="BM56" s="335"/>
      <c r="BN56" s="1305"/>
      <c r="BO56" s="1305"/>
      <c r="BP56" s="336"/>
      <c r="BQ56" s="1305"/>
      <c r="BR56" s="1305"/>
      <c r="BS56" s="337"/>
      <c r="BT56" s="760"/>
      <c r="BU56" s="1305"/>
      <c r="BV56" s="1305"/>
      <c r="BW56" s="1305"/>
      <c r="BX56" s="1305"/>
      <c r="BY56" s="206"/>
      <c r="BZ56" s="1305"/>
      <c r="CA56" s="1305"/>
      <c r="CB56" s="206"/>
      <c r="CC56" s="1305"/>
      <c r="CD56" s="1305"/>
      <c r="CE56" s="206"/>
      <c r="CF56" s="1307"/>
      <c r="CG56" s="206"/>
      <c r="CH56" s="1307"/>
      <c r="CI56" s="206"/>
      <c r="CJ56" s="337"/>
      <c r="CK56" s="208"/>
      <c r="CL56" s="1267"/>
      <c r="CM56" s="1310"/>
      <c r="CN56" s="1276"/>
      <c r="CO56" s="1261"/>
      <c r="CP56" s="1296"/>
      <c r="CQ56" s="1276"/>
      <c r="CR56" s="1261"/>
      <c r="CS56" s="1261"/>
      <c r="CT56" s="212"/>
      <c r="CU56" s="793"/>
      <c r="CV56" s="793"/>
      <c r="CW56" s="212"/>
    </row>
    <row r="57" spans="1:101" ht="15.6" x14ac:dyDescent="0.3">
      <c r="A57" s="156"/>
      <c r="B57" s="1237"/>
      <c r="C57" s="1237"/>
      <c r="D57" s="1253"/>
      <c r="E57" s="1237"/>
      <c r="F57" s="1237"/>
      <c r="G57" s="1237"/>
      <c r="H57" s="1237"/>
      <c r="I57" s="1237"/>
      <c r="J57" s="1237"/>
      <c r="K57" s="783"/>
      <c r="L57" s="783"/>
      <c r="M57" s="783"/>
      <c r="N57" s="1237"/>
      <c r="O57" s="1237"/>
      <c r="P57" s="1313"/>
      <c r="Q57" s="1315"/>
      <c r="R57" s="293"/>
      <c r="S57" s="340"/>
      <c r="T57" s="340"/>
      <c r="U57" s="340"/>
      <c r="V57" s="340"/>
      <c r="W57" s="340"/>
      <c r="X57" s="340"/>
      <c r="Y57" s="340"/>
      <c r="Z57" s="346" t="s">
        <v>186</v>
      </c>
      <c r="AA57" s="347"/>
      <c r="AB57" s="347"/>
      <c r="AC57" s="347"/>
      <c r="AD57" s="295" t="s">
        <v>297</v>
      </c>
      <c r="AE57" s="614"/>
      <c r="AF57" s="614"/>
      <c r="AG57" s="975" t="s">
        <v>187</v>
      </c>
      <c r="AH57" s="355" t="s">
        <v>187</v>
      </c>
      <c r="AI57" s="629" t="s">
        <v>187</v>
      </c>
      <c r="AJ57" s="355" t="s">
        <v>187</v>
      </c>
      <c r="AK57" s="355" t="str">
        <f t="shared" si="3"/>
        <v>N/A</v>
      </c>
      <c r="AL57" s="355" t="str">
        <f t="shared" si="3"/>
        <v>N/A</v>
      </c>
      <c r="AM57" s="355" t="s">
        <v>187</v>
      </c>
      <c r="AN57" s="355" t="e">
        <f>#REF!</f>
        <v>#REF!</v>
      </c>
      <c r="AO57" s="355" t="s">
        <v>187</v>
      </c>
      <c r="AP57" s="355" t="str">
        <f>AL57</f>
        <v>N/A</v>
      </c>
      <c r="AQ57" s="354"/>
      <c r="AR57" s="354"/>
      <c r="AS57" s="354"/>
      <c r="AT57" s="230" t="s">
        <v>187</v>
      </c>
      <c r="AU57" s="342" t="s">
        <v>187</v>
      </c>
      <c r="AV57" s="342" t="s">
        <v>187</v>
      </c>
      <c r="AW57" s="342" t="s">
        <v>187</v>
      </c>
      <c r="AX57" s="860"/>
      <c r="AY57" s="343" t="s">
        <v>187</v>
      </c>
      <c r="AZ57" s="605">
        <v>34</v>
      </c>
      <c r="BA57" s="296">
        <v>2.9</v>
      </c>
      <c r="BB57" s="354" t="s">
        <v>187</v>
      </c>
      <c r="BC57" s="355" t="s">
        <v>187</v>
      </c>
      <c r="BD57" s="355" t="s">
        <v>187</v>
      </c>
      <c r="BE57" s="355" t="s">
        <v>187</v>
      </c>
      <c r="BF57" s="354" t="s">
        <v>187</v>
      </c>
      <c r="BG57" s="230" t="s">
        <v>187</v>
      </c>
      <c r="BH57" s="342" t="s">
        <v>187</v>
      </c>
      <c r="BI57" s="342" t="s">
        <v>187</v>
      </c>
      <c r="BJ57" s="342" t="s">
        <v>187</v>
      </c>
      <c r="BK57" s="343" t="s">
        <v>187</v>
      </c>
      <c r="BL57" s="822"/>
      <c r="BM57" s="335"/>
      <c r="BN57" s="1305"/>
      <c r="BO57" s="1305"/>
      <c r="BP57" s="336"/>
      <c r="BQ57" s="1305"/>
      <c r="BR57" s="1305"/>
      <c r="BS57" s="337"/>
      <c r="BT57" s="760"/>
      <c r="BU57" s="1305"/>
      <c r="BV57" s="1305"/>
      <c r="BW57" s="1305"/>
      <c r="BX57" s="1305"/>
      <c r="BY57" s="206"/>
      <c r="BZ57" s="1305"/>
      <c r="CA57" s="1305"/>
      <c r="CB57" s="206"/>
      <c r="CC57" s="1305"/>
      <c r="CD57" s="1305"/>
      <c r="CE57" s="206"/>
      <c r="CF57" s="1307"/>
      <c r="CG57" s="206"/>
      <c r="CH57" s="1307"/>
      <c r="CI57" s="206"/>
      <c r="CJ57" s="337"/>
      <c r="CK57" s="208"/>
      <c r="CL57" s="1267"/>
      <c r="CM57" s="1310"/>
      <c r="CN57" s="1276"/>
      <c r="CO57" s="1261"/>
      <c r="CP57" s="1296"/>
      <c r="CQ57" s="1276"/>
      <c r="CR57" s="1261"/>
      <c r="CS57" s="1261"/>
      <c r="CT57" s="212"/>
      <c r="CU57" s="793"/>
      <c r="CV57" s="793"/>
      <c r="CW57" s="212"/>
    </row>
    <row r="58" spans="1:101" ht="15.6" x14ac:dyDescent="0.3">
      <c r="A58" s="156"/>
      <c r="B58" s="1237"/>
      <c r="C58" s="1237"/>
      <c r="D58" s="1253"/>
      <c r="E58" s="1237"/>
      <c r="F58" s="1237"/>
      <c r="G58" s="1237"/>
      <c r="H58" s="1237"/>
      <c r="I58" s="1237"/>
      <c r="J58" s="1237"/>
      <c r="K58" s="783"/>
      <c r="L58" s="783"/>
      <c r="M58" s="783"/>
      <c r="N58" s="1237"/>
      <c r="O58" s="1237"/>
      <c r="P58" s="1313"/>
      <c r="Q58" s="1315"/>
      <c r="R58" s="293"/>
      <c r="S58" s="347" t="s">
        <v>93</v>
      </c>
      <c r="T58" s="347" t="s">
        <v>93</v>
      </c>
      <c r="U58" s="347" t="s">
        <v>93</v>
      </c>
      <c r="V58" s="347" t="s">
        <v>93</v>
      </c>
      <c r="W58" s="347" t="s">
        <v>93</v>
      </c>
      <c r="X58" s="347" t="s">
        <v>93</v>
      </c>
      <c r="Y58" s="347" t="s">
        <v>93</v>
      </c>
      <c r="Z58" s="346"/>
      <c r="AA58" s="347"/>
      <c r="AB58" s="347"/>
      <c r="AC58" s="347" t="s">
        <v>186</v>
      </c>
      <c r="AD58" s="295" t="s">
        <v>298</v>
      </c>
      <c r="AE58" s="614" t="s">
        <v>559</v>
      </c>
      <c r="AF58" s="614"/>
      <c r="AG58" s="976" t="s">
        <v>299</v>
      </c>
      <c r="AH58" s="357" t="s">
        <v>299</v>
      </c>
      <c r="AI58" s="630" t="s">
        <v>299</v>
      </c>
      <c r="AJ58" s="357" t="s">
        <v>299</v>
      </c>
      <c r="AK58" s="357" t="str">
        <f t="shared" si="3"/>
        <v>See DRAM tab</v>
      </c>
      <c r="AL58" s="357" t="str">
        <f t="shared" si="3"/>
        <v>See DRAM tab</v>
      </c>
      <c r="AM58" s="357" t="s">
        <v>299</v>
      </c>
      <c r="AN58" s="357" t="e">
        <f>#REF!</f>
        <v>#REF!</v>
      </c>
      <c r="AO58" s="357" t="s">
        <v>299</v>
      </c>
      <c r="AP58" s="357" t="str">
        <f>AL58</f>
        <v>See DRAM tab</v>
      </c>
      <c r="AQ58" s="356"/>
      <c r="AR58" s="356"/>
      <c r="AS58" s="356"/>
      <c r="AT58" s="230" t="s">
        <v>187</v>
      </c>
      <c r="AU58" s="342" t="s">
        <v>187</v>
      </c>
      <c r="AV58" s="342" t="s">
        <v>187</v>
      </c>
      <c r="AW58" s="342" t="s">
        <v>187</v>
      </c>
      <c r="AX58" s="860"/>
      <c r="AY58" s="343" t="s">
        <v>187</v>
      </c>
      <c r="AZ58" s="605">
        <v>35</v>
      </c>
      <c r="BA58" s="307">
        <v>4.5</v>
      </c>
      <c r="BB58" s="307">
        <v>4.5</v>
      </c>
      <c r="BC58" s="308">
        <v>4.5</v>
      </c>
      <c r="BD58" s="308">
        <v>4.5</v>
      </c>
      <c r="BE58" s="308">
        <v>4.5</v>
      </c>
      <c r="BF58" s="307">
        <v>4.5</v>
      </c>
      <c r="BG58" s="230" t="s">
        <v>187</v>
      </c>
      <c r="BH58" s="342" t="s">
        <v>187</v>
      </c>
      <c r="BI58" s="342" t="s">
        <v>187</v>
      </c>
      <c r="BJ58" s="342" t="s">
        <v>187</v>
      </c>
      <c r="BK58" s="343" t="s">
        <v>187</v>
      </c>
      <c r="BL58" s="822"/>
      <c r="BM58" s="335"/>
      <c r="BN58" s="1305"/>
      <c r="BO58" s="1305"/>
      <c r="BP58" s="336"/>
      <c r="BQ58" s="1305"/>
      <c r="BR58" s="1305"/>
      <c r="BS58" s="337"/>
      <c r="BT58" s="760"/>
      <c r="BU58" s="1305"/>
      <c r="BV58" s="1305"/>
      <c r="BW58" s="1305"/>
      <c r="BX58" s="1305"/>
      <c r="BY58" s="206"/>
      <c r="BZ58" s="1305"/>
      <c r="CA58" s="1305"/>
      <c r="CB58" s="206"/>
      <c r="CC58" s="1305"/>
      <c r="CD58" s="1305"/>
      <c r="CE58" s="206"/>
      <c r="CF58" s="1307"/>
      <c r="CG58" s="206"/>
      <c r="CH58" s="1307"/>
      <c r="CI58" s="206"/>
      <c r="CJ58" s="337"/>
      <c r="CK58" s="208"/>
      <c r="CL58" s="1267"/>
      <c r="CM58" s="1310"/>
      <c r="CN58" s="1276"/>
      <c r="CO58" s="1261"/>
      <c r="CP58" s="1296"/>
      <c r="CQ58" s="1276"/>
      <c r="CR58" s="1261"/>
      <c r="CS58" s="1261"/>
      <c r="CT58" s="212"/>
      <c r="CU58" s="793"/>
      <c r="CV58" s="793"/>
      <c r="CW58" s="212"/>
    </row>
    <row r="59" spans="1:101" ht="15" customHeight="1" x14ac:dyDescent="0.3">
      <c r="A59" s="156"/>
      <c r="B59" s="1236" t="s">
        <v>37</v>
      </c>
      <c r="C59" s="1236"/>
      <c r="D59" s="1311" t="s">
        <v>300</v>
      </c>
      <c r="E59" s="1236" t="s">
        <v>301</v>
      </c>
      <c r="F59" s="1236" t="s">
        <v>301</v>
      </c>
      <c r="G59" s="1236" t="s">
        <v>282</v>
      </c>
      <c r="H59" s="1236"/>
      <c r="I59" s="1236" t="s">
        <v>19</v>
      </c>
      <c r="J59" s="1236" t="s">
        <v>19</v>
      </c>
      <c r="K59" s="782"/>
      <c r="L59" s="782"/>
      <c r="M59" s="782"/>
      <c r="N59" s="1236"/>
      <c r="O59" s="1236" t="s">
        <v>286</v>
      </c>
      <c r="P59" s="1312" t="s">
        <v>302</v>
      </c>
      <c r="Q59" s="1314"/>
      <c r="R59" s="283"/>
      <c r="S59" s="358"/>
      <c r="T59" s="359"/>
      <c r="U59" s="358"/>
      <c r="V59" s="359"/>
      <c r="W59" s="359"/>
      <c r="X59" s="358"/>
      <c r="Y59" s="359"/>
      <c r="Z59" s="360"/>
      <c r="AA59" s="285" t="s">
        <v>186</v>
      </c>
      <c r="AB59" s="285" t="s">
        <v>65</v>
      </c>
      <c r="AC59" s="360"/>
      <c r="AD59" s="286" t="s">
        <v>303</v>
      </c>
      <c r="AE59" s="613" t="s">
        <v>522</v>
      </c>
      <c r="AF59" s="613"/>
      <c r="AG59" s="977">
        <v>3.0000000000000001E-3</v>
      </c>
      <c r="AH59" s="252">
        <v>3.0000000000000001E-3</v>
      </c>
      <c r="AI59" s="623">
        <v>3.0000000000000001E-3</v>
      </c>
      <c r="AJ59" s="252">
        <v>3.0000000000000001E-3</v>
      </c>
      <c r="AK59" s="252">
        <f t="shared" si="3"/>
        <v>3.0000000000000001E-3</v>
      </c>
      <c r="AL59" s="252">
        <f t="shared" si="3"/>
        <v>3.0000000000000001E-3</v>
      </c>
      <c r="AM59" s="252">
        <v>3.0000000000000001E-3</v>
      </c>
      <c r="AN59" s="252" t="e">
        <f>#REF!</f>
        <v>#REF!</v>
      </c>
      <c r="AO59" s="252">
        <v>3.0000000000000001E-3</v>
      </c>
      <c r="AP59" s="252">
        <f>AL59</f>
        <v>3.0000000000000001E-3</v>
      </c>
      <c r="AQ59" s="361"/>
      <c r="AR59" s="361"/>
      <c r="AS59" s="361"/>
      <c r="AT59" s="362">
        <v>0.1</v>
      </c>
      <c r="AU59" s="363">
        <v>0.1</v>
      </c>
      <c r="AV59" s="363">
        <v>0.1</v>
      </c>
      <c r="AW59" s="363">
        <v>0.1</v>
      </c>
      <c r="AX59" s="861"/>
      <c r="AY59" s="364">
        <v>0.1</v>
      </c>
      <c r="AZ59" s="605">
        <v>36</v>
      </c>
      <c r="BA59" s="287">
        <v>0.3</v>
      </c>
      <c r="BB59" s="287">
        <v>0.3</v>
      </c>
      <c r="BC59" s="288">
        <v>0.3</v>
      </c>
      <c r="BD59" s="288">
        <v>0.3</v>
      </c>
      <c r="BE59" s="288">
        <v>0.3</v>
      </c>
      <c r="BF59" s="365" t="s">
        <v>304</v>
      </c>
      <c r="BG59" s="365"/>
      <c r="BH59" s="366"/>
      <c r="BI59" s="366"/>
      <c r="BJ59" s="366"/>
      <c r="BK59" s="367"/>
      <c r="BL59" s="822"/>
      <c r="BM59" s="335" t="s">
        <v>305</v>
      </c>
      <c r="BN59" s="1304" t="s">
        <v>305</v>
      </c>
      <c r="BO59" s="1304" t="s">
        <v>305</v>
      </c>
      <c r="BP59" s="336" t="s">
        <v>305</v>
      </c>
      <c r="BQ59" s="1304" t="s">
        <v>305</v>
      </c>
      <c r="BR59" s="1304" t="s">
        <v>305</v>
      </c>
      <c r="BS59" s="337" t="s">
        <v>305</v>
      </c>
      <c r="BT59" s="760"/>
      <c r="BU59" s="1304" t="s">
        <v>305</v>
      </c>
      <c r="BV59" s="1304" t="s">
        <v>305</v>
      </c>
      <c r="BW59" s="1304" t="s">
        <v>305</v>
      </c>
      <c r="BX59" s="1304" t="s">
        <v>305</v>
      </c>
      <c r="BY59" s="206"/>
      <c r="BZ59" s="1304" t="s">
        <v>305</v>
      </c>
      <c r="CA59" s="1304" t="s">
        <v>305</v>
      </c>
      <c r="CB59" s="206"/>
      <c r="CC59" s="1304" t="s">
        <v>305</v>
      </c>
      <c r="CD59" s="1304" t="s">
        <v>305</v>
      </c>
      <c r="CE59" s="206"/>
      <c r="CF59" s="1304" t="s">
        <v>305</v>
      </c>
      <c r="CG59" s="206"/>
      <c r="CH59" s="1304" t="s">
        <v>305</v>
      </c>
      <c r="CI59" s="206"/>
      <c r="CJ59" s="337" t="s">
        <v>305</v>
      </c>
      <c r="CK59" s="208"/>
      <c r="CL59" s="1266" t="s">
        <v>306</v>
      </c>
      <c r="CM59" s="1318" t="s">
        <v>37</v>
      </c>
      <c r="CN59" s="1275">
        <v>5.72</v>
      </c>
      <c r="CO59" s="1260">
        <v>7.67</v>
      </c>
      <c r="CP59" s="1295">
        <v>0.89</v>
      </c>
      <c r="CQ59" s="1275">
        <v>8.25</v>
      </c>
      <c r="CR59" s="1260">
        <v>7.67</v>
      </c>
      <c r="CS59" s="1260" t="s">
        <v>307</v>
      </c>
      <c r="CT59" s="212"/>
      <c r="CU59" s="793" t="s">
        <v>308</v>
      </c>
      <c r="CV59" s="793" t="s">
        <v>308</v>
      </c>
      <c r="CW59" s="212"/>
    </row>
    <row r="60" spans="1:101" ht="15.9" customHeight="1" x14ac:dyDescent="0.3">
      <c r="A60" s="156"/>
      <c r="B60" s="1237"/>
      <c r="C60" s="1237"/>
      <c r="D60" s="1311"/>
      <c r="E60" s="1237"/>
      <c r="F60" s="1237"/>
      <c r="G60" s="1237"/>
      <c r="H60" s="1237"/>
      <c r="I60" s="1237"/>
      <c r="J60" s="1237"/>
      <c r="K60" s="783"/>
      <c r="L60" s="783"/>
      <c r="M60" s="783"/>
      <c r="N60" s="1237"/>
      <c r="O60" s="1237"/>
      <c r="P60" s="1313"/>
      <c r="Q60" s="1315"/>
      <c r="R60" s="293"/>
      <c r="S60" s="1316" t="s">
        <v>98</v>
      </c>
      <c r="T60" s="1316" t="s">
        <v>98</v>
      </c>
      <c r="U60" s="1316" t="s">
        <v>98</v>
      </c>
      <c r="V60" s="1316" t="s">
        <v>98</v>
      </c>
      <c r="W60" s="786"/>
      <c r="X60" s="1316" t="s">
        <v>98</v>
      </c>
      <c r="Y60" s="1316" t="s">
        <v>98</v>
      </c>
      <c r="Z60" s="346"/>
      <c r="AA60" s="347" t="s">
        <v>186</v>
      </c>
      <c r="AB60" s="347" t="s">
        <v>266</v>
      </c>
      <c r="AC60" s="346"/>
      <c r="AD60" s="295" t="s">
        <v>477</v>
      </c>
      <c r="AE60" s="614" t="s">
        <v>523</v>
      </c>
      <c r="AF60" s="614"/>
      <c r="AG60" s="624">
        <v>0.20200000000000001</v>
      </c>
      <c r="AH60" s="624">
        <v>0.20200000000000001</v>
      </c>
      <c r="AI60" s="624">
        <v>0.20200000000000001</v>
      </c>
      <c r="AJ60" s="624">
        <v>0.20200000000000001</v>
      </c>
      <c r="AK60" s="624">
        <v>0.20200000000000001</v>
      </c>
      <c r="AL60" s="624">
        <v>0.20200000000000001</v>
      </c>
      <c r="AM60" s="624">
        <v>0.20200000000000001</v>
      </c>
      <c r="AN60" s="624">
        <v>0.20200000000000001</v>
      </c>
      <c r="AO60" s="624">
        <v>0.20200000000000001</v>
      </c>
      <c r="AP60" s="624">
        <v>0.20200000000000001</v>
      </c>
      <c r="AQ60" s="304"/>
      <c r="AR60" s="304"/>
      <c r="AS60" s="304"/>
      <c r="AT60" s="304">
        <v>0.97</v>
      </c>
      <c r="AU60" s="305">
        <v>0.97</v>
      </c>
      <c r="AV60" s="305">
        <v>0.97</v>
      </c>
      <c r="AW60" s="305">
        <v>0.97</v>
      </c>
      <c r="AX60" s="862"/>
      <c r="AY60" s="306">
        <v>0.97</v>
      </c>
      <c r="AZ60" s="605">
        <v>37</v>
      </c>
      <c r="BA60" s="299">
        <v>0.2</v>
      </c>
      <c r="BB60" s="299">
        <v>0.2</v>
      </c>
      <c r="BC60" s="300">
        <v>0.2</v>
      </c>
      <c r="BD60" s="300">
        <v>0.2</v>
      </c>
      <c r="BE60" s="300">
        <v>0.2</v>
      </c>
      <c r="BF60" s="368" t="s">
        <v>304</v>
      </c>
      <c r="BG60" s="368"/>
      <c r="BH60" s="369"/>
      <c r="BI60" s="369"/>
      <c r="BJ60" s="369"/>
      <c r="BK60" s="370"/>
      <c r="BL60" s="822"/>
      <c r="BM60" s="335"/>
      <c r="BN60" s="1305"/>
      <c r="BO60" s="1305"/>
      <c r="BP60" s="336"/>
      <c r="BQ60" s="1305"/>
      <c r="BR60" s="1305"/>
      <c r="BS60" s="337"/>
      <c r="BT60" s="760"/>
      <c r="BU60" s="1305"/>
      <c r="BV60" s="1305"/>
      <c r="BW60" s="1305"/>
      <c r="BX60" s="1305"/>
      <c r="BY60" s="206"/>
      <c r="BZ60" s="1305"/>
      <c r="CA60" s="1305"/>
      <c r="CB60" s="206"/>
      <c r="CC60" s="1305"/>
      <c r="CD60" s="1305"/>
      <c r="CE60" s="206"/>
      <c r="CF60" s="1305"/>
      <c r="CG60" s="206"/>
      <c r="CH60" s="1305"/>
      <c r="CI60" s="206"/>
      <c r="CJ60" s="337"/>
      <c r="CK60" s="208"/>
      <c r="CL60" s="1267"/>
      <c r="CM60" s="1310"/>
      <c r="CN60" s="1276"/>
      <c r="CO60" s="1261"/>
      <c r="CP60" s="1296"/>
      <c r="CQ60" s="1276"/>
      <c r="CR60" s="1261"/>
      <c r="CS60" s="1261"/>
      <c r="CT60" s="212"/>
      <c r="CU60" s="793"/>
      <c r="CV60" s="794"/>
      <c r="CW60" s="212"/>
    </row>
    <row r="61" spans="1:101" ht="15.9" customHeight="1" x14ac:dyDescent="0.3">
      <c r="A61" s="156"/>
      <c r="B61" s="1237"/>
      <c r="C61" s="1237"/>
      <c r="D61" s="1311"/>
      <c r="E61" s="1237"/>
      <c r="F61" s="1237"/>
      <c r="G61" s="1237"/>
      <c r="H61" s="1237"/>
      <c r="I61" s="1237"/>
      <c r="J61" s="1237"/>
      <c r="K61" s="783"/>
      <c r="L61" s="783"/>
      <c r="M61" s="783"/>
      <c r="N61" s="1237"/>
      <c r="O61" s="1237"/>
      <c r="P61" s="1313"/>
      <c r="Q61" s="1315"/>
      <c r="R61" s="293"/>
      <c r="S61" s="1317"/>
      <c r="T61" s="1317"/>
      <c r="U61" s="1317"/>
      <c r="V61" s="1317"/>
      <c r="W61" s="787"/>
      <c r="X61" s="1317"/>
      <c r="Y61" s="1317"/>
      <c r="Z61" s="346"/>
      <c r="AA61" s="347" t="s">
        <v>186</v>
      </c>
      <c r="AB61" s="347" t="s">
        <v>266</v>
      </c>
      <c r="AC61" s="346"/>
      <c r="AD61" s="295" t="s">
        <v>309</v>
      </c>
      <c r="AE61" s="614"/>
      <c r="AF61" s="614"/>
      <c r="AG61" s="978" t="s">
        <v>187</v>
      </c>
      <c r="AH61" s="343" t="s">
        <v>187</v>
      </c>
      <c r="AI61" s="625" t="s">
        <v>187</v>
      </c>
      <c r="AJ61" s="343" t="s">
        <v>187</v>
      </c>
      <c r="AK61" s="343" t="str">
        <f t="shared" si="3"/>
        <v>N/A</v>
      </c>
      <c r="AL61" s="343" t="str">
        <f t="shared" si="3"/>
        <v>N/A</v>
      </c>
      <c r="AM61" s="343" t="s">
        <v>187</v>
      </c>
      <c r="AN61" s="343" t="e">
        <f>#REF!</f>
        <v>#REF!</v>
      </c>
      <c r="AO61" s="343" t="s">
        <v>187</v>
      </c>
      <c r="AP61" s="343" t="str">
        <f>AL61</f>
        <v>N/A</v>
      </c>
      <c r="AQ61" s="230"/>
      <c r="AR61" s="230"/>
      <c r="AS61" s="230"/>
      <c r="AT61" s="344">
        <v>0.42399999999999999</v>
      </c>
      <c r="AU61" s="371">
        <v>0.42399999999999999</v>
      </c>
      <c r="AV61" s="371">
        <v>0.42399999999999999</v>
      </c>
      <c r="AW61" s="371">
        <v>0.42399999999999999</v>
      </c>
      <c r="AX61" s="863"/>
      <c r="AY61" s="345">
        <v>0.42399999999999999</v>
      </c>
      <c r="AZ61" s="605">
        <v>38</v>
      </c>
      <c r="BA61" s="230" t="s">
        <v>187</v>
      </c>
      <c r="BB61" s="230" t="s">
        <v>187</v>
      </c>
      <c r="BC61" s="343" t="s">
        <v>187</v>
      </c>
      <c r="BD61" s="343" t="s">
        <v>187</v>
      </c>
      <c r="BE61" s="343" t="s">
        <v>187</v>
      </c>
      <c r="BF61" s="230" t="s">
        <v>187</v>
      </c>
      <c r="BG61" s="372"/>
      <c r="BH61" s="373"/>
      <c r="BI61" s="373"/>
      <c r="BJ61" s="373"/>
      <c r="BK61" s="374"/>
      <c r="BL61" s="822"/>
      <c r="BM61" s="335"/>
      <c r="BN61" s="1305"/>
      <c r="BO61" s="1305"/>
      <c r="BP61" s="336"/>
      <c r="BQ61" s="1305"/>
      <c r="BR61" s="1305"/>
      <c r="BS61" s="337"/>
      <c r="BT61" s="760"/>
      <c r="BU61" s="1305"/>
      <c r="BV61" s="1305"/>
      <c r="BW61" s="1305"/>
      <c r="BX61" s="1305"/>
      <c r="BY61" s="206"/>
      <c r="BZ61" s="1305"/>
      <c r="CA61" s="1305"/>
      <c r="CB61" s="206"/>
      <c r="CC61" s="1305"/>
      <c r="CD61" s="1305"/>
      <c r="CE61" s="206"/>
      <c r="CF61" s="1305"/>
      <c r="CG61" s="206"/>
      <c r="CH61" s="1305"/>
      <c r="CI61" s="206"/>
      <c r="CJ61" s="337"/>
      <c r="CK61" s="208"/>
      <c r="CL61" s="1267"/>
      <c r="CM61" s="1310"/>
      <c r="CN61" s="1276"/>
      <c r="CO61" s="1261"/>
      <c r="CP61" s="1296"/>
      <c r="CQ61" s="1276"/>
      <c r="CR61" s="1261"/>
      <c r="CS61" s="1261"/>
      <c r="CT61" s="212"/>
      <c r="CU61" s="793"/>
      <c r="CV61" s="794"/>
      <c r="CW61" s="212"/>
    </row>
    <row r="62" spans="1:101" ht="15.9" customHeight="1" x14ac:dyDescent="0.3">
      <c r="A62" s="156"/>
      <c r="B62" s="1237"/>
      <c r="C62" s="1237"/>
      <c r="D62" s="1311"/>
      <c r="E62" s="1237"/>
      <c r="F62" s="1237"/>
      <c r="G62" s="1237"/>
      <c r="H62" s="1237"/>
      <c r="I62" s="1237"/>
      <c r="J62" s="1237"/>
      <c r="K62" s="783"/>
      <c r="L62" s="783"/>
      <c r="M62" s="783"/>
      <c r="N62" s="1237"/>
      <c r="O62" s="1237"/>
      <c r="P62" s="1313"/>
      <c r="Q62" s="1315"/>
      <c r="R62" s="293"/>
      <c r="S62" s="787"/>
      <c r="T62" s="864"/>
      <c r="U62" s="787"/>
      <c r="V62" s="864"/>
      <c r="W62" s="864"/>
      <c r="X62" s="787"/>
      <c r="Y62" s="864"/>
      <c r="Z62" s="346"/>
      <c r="AA62" s="347"/>
      <c r="AB62" s="347"/>
      <c r="AC62" s="346"/>
      <c r="AD62" s="295"/>
      <c r="AE62" s="614"/>
      <c r="AF62" s="614"/>
      <c r="AG62" s="978"/>
      <c r="AH62" s="343"/>
      <c r="AI62" s="625"/>
      <c r="AJ62" s="343"/>
      <c r="AK62" s="343"/>
      <c r="AL62" s="343"/>
      <c r="AM62" s="343"/>
      <c r="AN62" s="343"/>
      <c r="AO62" s="343"/>
      <c r="AP62" s="343"/>
      <c r="AQ62" s="230"/>
      <c r="AR62" s="230"/>
      <c r="AS62" s="230"/>
      <c r="AT62" s="344"/>
      <c r="AU62" s="371"/>
      <c r="AV62" s="371"/>
      <c r="AW62" s="371"/>
      <c r="AX62" s="863"/>
      <c r="AY62" s="345"/>
      <c r="AZ62" s="605"/>
      <c r="BA62" s="230"/>
      <c r="BB62" s="230"/>
      <c r="BC62" s="343"/>
      <c r="BD62" s="343"/>
      <c r="BE62" s="343"/>
      <c r="BF62" s="230"/>
      <c r="BG62" s="372"/>
      <c r="BH62" s="373"/>
      <c r="BI62" s="373"/>
      <c r="BJ62" s="373"/>
      <c r="BK62" s="374"/>
      <c r="BL62" s="822"/>
      <c r="BM62" s="335"/>
      <c r="BN62" s="1305"/>
      <c r="BO62" s="1305"/>
      <c r="BP62" s="336"/>
      <c r="BQ62" s="1305"/>
      <c r="BR62" s="1305"/>
      <c r="BS62" s="337"/>
      <c r="BT62" s="760"/>
      <c r="BU62" s="1305"/>
      <c r="BV62" s="1305"/>
      <c r="BW62" s="1305"/>
      <c r="BX62" s="1305"/>
      <c r="BY62" s="206"/>
      <c r="BZ62" s="1305"/>
      <c r="CA62" s="1305"/>
      <c r="CB62" s="206"/>
      <c r="CC62" s="1305"/>
      <c r="CD62" s="1305"/>
      <c r="CE62" s="206"/>
      <c r="CF62" s="1305"/>
      <c r="CG62" s="206"/>
      <c r="CH62" s="1305"/>
      <c r="CI62" s="206"/>
      <c r="CJ62" s="337"/>
      <c r="CK62" s="208"/>
      <c r="CL62" s="1267"/>
      <c r="CM62" s="1310"/>
      <c r="CN62" s="1276"/>
      <c r="CO62" s="1261"/>
      <c r="CP62" s="1296"/>
      <c r="CQ62" s="1276"/>
      <c r="CR62" s="1261"/>
      <c r="CS62" s="1261"/>
      <c r="CT62" s="212"/>
      <c r="CU62" s="793"/>
      <c r="CV62" s="794"/>
      <c r="CW62" s="212"/>
    </row>
    <row r="63" spans="1:101" ht="15.9" customHeight="1" x14ac:dyDescent="0.3">
      <c r="A63" s="156"/>
      <c r="B63" s="1237"/>
      <c r="C63" s="1237"/>
      <c r="D63" s="1311"/>
      <c r="E63" s="1237"/>
      <c r="F63" s="1237"/>
      <c r="G63" s="1237"/>
      <c r="H63" s="1237"/>
      <c r="I63" s="1237"/>
      <c r="J63" s="1237"/>
      <c r="K63" s="783"/>
      <c r="L63" s="783"/>
      <c r="M63" s="783"/>
      <c r="N63" s="1237"/>
      <c r="O63" s="1237"/>
      <c r="P63" s="1313"/>
      <c r="Q63" s="1315"/>
      <c r="R63" s="293"/>
      <c r="S63" s="787"/>
      <c r="T63" s="864"/>
      <c r="U63" s="787"/>
      <c r="V63" s="864"/>
      <c r="W63" s="864"/>
      <c r="X63" s="787"/>
      <c r="Y63" s="864"/>
      <c r="Z63" s="346"/>
      <c r="AA63" s="347"/>
      <c r="AB63" s="347"/>
      <c r="AC63" s="346"/>
      <c r="AD63" s="295"/>
      <c r="AE63" s="614" t="s">
        <v>478</v>
      </c>
      <c r="AF63" s="614"/>
      <c r="AG63" s="978"/>
      <c r="AH63" s="343"/>
      <c r="AI63" s="625"/>
      <c r="AJ63" s="343"/>
      <c r="AK63" s="343"/>
      <c r="AL63" s="343"/>
      <c r="AM63" s="343"/>
      <c r="AN63" s="343"/>
      <c r="AO63" s="343"/>
      <c r="AP63" s="343"/>
      <c r="AQ63" s="230"/>
      <c r="AR63" s="230"/>
      <c r="AS63" s="230"/>
      <c r="AT63" s="344">
        <v>0.39900000000000002</v>
      </c>
      <c r="AU63" s="344">
        <v>0.39900000000000002</v>
      </c>
      <c r="AV63" s="344">
        <v>0.39900000000000002</v>
      </c>
      <c r="AW63" s="344">
        <v>0.39900000000000002</v>
      </c>
      <c r="AX63" s="344">
        <v>0.39900000000000002</v>
      </c>
      <c r="AY63" s="344">
        <v>0.39900000000000002</v>
      </c>
      <c r="AZ63" s="605"/>
      <c r="BA63" s="230"/>
      <c r="BB63" s="230"/>
      <c r="BC63" s="343"/>
      <c r="BD63" s="343"/>
      <c r="BE63" s="343"/>
      <c r="BF63" s="230"/>
      <c r="BG63" s="372"/>
      <c r="BH63" s="373"/>
      <c r="BI63" s="373"/>
      <c r="BJ63" s="373"/>
      <c r="BK63" s="374"/>
      <c r="BL63" s="822"/>
      <c r="BM63" s="335"/>
      <c r="BN63" s="1305"/>
      <c r="BO63" s="1305"/>
      <c r="BP63" s="336"/>
      <c r="BQ63" s="1305"/>
      <c r="BR63" s="1305"/>
      <c r="BS63" s="337"/>
      <c r="BT63" s="760"/>
      <c r="BU63" s="1305"/>
      <c r="BV63" s="1305"/>
      <c r="BW63" s="1305"/>
      <c r="BX63" s="1305"/>
      <c r="BY63" s="206"/>
      <c r="BZ63" s="1305"/>
      <c r="CA63" s="1305"/>
      <c r="CB63" s="206"/>
      <c r="CC63" s="1305"/>
      <c r="CD63" s="1305"/>
      <c r="CE63" s="206"/>
      <c r="CF63" s="1305"/>
      <c r="CG63" s="206"/>
      <c r="CH63" s="1305"/>
      <c r="CI63" s="206"/>
      <c r="CJ63" s="337"/>
      <c r="CK63" s="208"/>
      <c r="CL63" s="1267"/>
      <c r="CM63" s="1310"/>
      <c r="CN63" s="1276"/>
      <c r="CO63" s="1261"/>
      <c r="CP63" s="1296"/>
      <c r="CQ63" s="1276"/>
      <c r="CR63" s="1261"/>
      <c r="CS63" s="1261"/>
      <c r="CT63" s="212"/>
      <c r="CU63" s="793"/>
      <c r="CV63" s="794"/>
      <c r="CW63" s="212"/>
    </row>
    <row r="64" spans="1:101" ht="15.9" customHeight="1" x14ac:dyDescent="0.3">
      <c r="A64" s="156"/>
      <c r="B64" s="1237"/>
      <c r="C64" s="1237"/>
      <c r="D64" s="1311"/>
      <c r="E64" s="1237"/>
      <c r="F64" s="1237"/>
      <c r="G64" s="1237"/>
      <c r="H64" s="1237"/>
      <c r="I64" s="1237"/>
      <c r="J64" s="1237"/>
      <c r="K64" s="783"/>
      <c r="L64" s="783"/>
      <c r="M64" s="783"/>
      <c r="N64" s="1237"/>
      <c r="O64" s="1237"/>
      <c r="P64" s="1313"/>
      <c r="Q64" s="1315"/>
      <c r="R64" s="293"/>
      <c r="S64" s="347" t="s">
        <v>414</v>
      </c>
      <c r="T64" s="349" t="s">
        <v>98</v>
      </c>
      <c r="U64" s="347" t="s">
        <v>414</v>
      </c>
      <c r="V64" s="349" t="s">
        <v>98</v>
      </c>
      <c r="W64" s="349" t="s">
        <v>414</v>
      </c>
      <c r="X64" s="349" t="s">
        <v>414</v>
      </c>
      <c r="Y64" s="349" t="s">
        <v>98</v>
      </c>
      <c r="Z64" s="346"/>
      <c r="AA64" s="347"/>
      <c r="AB64" s="347"/>
      <c r="AC64" s="346" t="s">
        <v>186</v>
      </c>
      <c r="AD64" s="295" t="s">
        <v>310</v>
      </c>
      <c r="AE64" s="614" t="s">
        <v>479</v>
      </c>
      <c r="AF64" s="614" t="s">
        <v>80</v>
      </c>
      <c r="AG64" s="979">
        <v>1.0860000000000001</v>
      </c>
      <c r="AH64" s="297">
        <v>1.0860000000000001</v>
      </c>
      <c r="AI64" s="624">
        <v>1.0860000000000001</v>
      </c>
      <c r="AJ64" s="297">
        <v>1.0860000000000001</v>
      </c>
      <c r="AK64" s="297">
        <f t="shared" si="3"/>
        <v>1.0860000000000001</v>
      </c>
      <c r="AL64" s="297">
        <f t="shared" si="3"/>
        <v>1.0860000000000001</v>
      </c>
      <c r="AM64" s="297">
        <v>1.0860000000000001</v>
      </c>
      <c r="AN64" s="297" t="e">
        <f>#REF!</f>
        <v>#REF!</v>
      </c>
      <c r="AO64" s="297">
        <v>1.0860000000000001</v>
      </c>
      <c r="AP64" s="297">
        <f t="shared" ref="AP64:AP75" si="4">AL64</f>
        <v>1.0860000000000001</v>
      </c>
      <c r="AQ64" s="298"/>
      <c r="AR64" s="298"/>
      <c r="AS64" s="298"/>
      <c r="AT64" s="344">
        <v>1.0409999999999999</v>
      </c>
      <c r="AU64" s="371">
        <v>1.0409999999999999</v>
      </c>
      <c r="AV64" s="371">
        <v>1.0409999999999999</v>
      </c>
      <c r="AW64" s="371">
        <v>1.0409999999999999</v>
      </c>
      <c r="AX64" s="863"/>
      <c r="AY64" s="345">
        <v>1.0409999999999999</v>
      </c>
      <c r="AZ64" s="605">
        <v>39</v>
      </c>
      <c r="BA64" s="296">
        <v>1.91</v>
      </c>
      <c r="BB64" s="296">
        <v>1.91</v>
      </c>
      <c r="BC64" s="297">
        <v>1.91</v>
      </c>
      <c r="BD64" s="297">
        <v>1.91</v>
      </c>
      <c r="BE64" s="297">
        <v>1.91</v>
      </c>
      <c r="BF64" s="296">
        <v>1.91</v>
      </c>
      <c r="BG64" s="372"/>
      <c r="BH64" s="373"/>
      <c r="BI64" s="373"/>
      <c r="BJ64" s="373"/>
      <c r="BK64" s="374"/>
      <c r="BL64" s="822"/>
      <c r="BM64" s="335"/>
      <c r="BN64" s="1305"/>
      <c r="BO64" s="1305"/>
      <c r="BP64" s="336"/>
      <c r="BQ64" s="1305"/>
      <c r="BR64" s="1305"/>
      <c r="BS64" s="337"/>
      <c r="BT64" s="760"/>
      <c r="BU64" s="1305"/>
      <c r="BV64" s="1305"/>
      <c r="BW64" s="1305"/>
      <c r="BX64" s="1305"/>
      <c r="BY64" s="206"/>
      <c r="BZ64" s="1305"/>
      <c r="CA64" s="1305"/>
      <c r="CB64" s="206"/>
      <c r="CC64" s="1305"/>
      <c r="CD64" s="1305"/>
      <c r="CE64" s="206"/>
      <c r="CF64" s="1305"/>
      <c r="CG64" s="206"/>
      <c r="CH64" s="1305"/>
      <c r="CI64" s="206"/>
      <c r="CJ64" s="337"/>
      <c r="CK64" s="208"/>
      <c r="CL64" s="1267"/>
      <c r="CM64" s="1310"/>
      <c r="CN64" s="1276"/>
      <c r="CO64" s="1261"/>
      <c r="CP64" s="1296"/>
      <c r="CQ64" s="1276"/>
      <c r="CR64" s="1261"/>
      <c r="CS64" s="1261"/>
      <c r="CT64" s="212"/>
      <c r="CU64" s="793"/>
      <c r="CV64" s="794"/>
      <c r="CW64" s="212"/>
    </row>
    <row r="65" spans="1:101" ht="15.9" customHeight="1" x14ac:dyDescent="0.3">
      <c r="A65" s="156"/>
      <c r="B65" s="1237"/>
      <c r="C65" s="1237"/>
      <c r="D65" s="1311"/>
      <c r="E65" s="1237"/>
      <c r="F65" s="1237"/>
      <c r="G65" s="1237"/>
      <c r="H65" s="1237"/>
      <c r="I65" s="1237"/>
      <c r="J65" s="1237"/>
      <c r="K65" s="783"/>
      <c r="L65" s="783"/>
      <c r="M65" s="783"/>
      <c r="N65" s="1237"/>
      <c r="O65" s="1237"/>
      <c r="P65" s="1313"/>
      <c r="Q65" s="1315"/>
      <c r="R65" s="293"/>
      <c r="S65" s="375" t="s">
        <v>415</v>
      </c>
      <c r="T65" s="375" t="s">
        <v>311</v>
      </c>
      <c r="U65" s="375" t="s">
        <v>415</v>
      </c>
      <c r="V65" s="375" t="s">
        <v>415</v>
      </c>
      <c r="W65" s="375"/>
      <c r="X65" s="375" t="s">
        <v>311</v>
      </c>
      <c r="Y65" s="375" t="s">
        <v>311</v>
      </c>
      <c r="Z65" s="346"/>
      <c r="AA65" s="347"/>
      <c r="AB65" s="347"/>
      <c r="AC65" s="346" t="s">
        <v>186</v>
      </c>
      <c r="AD65" s="295" t="s">
        <v>400</v>
      </c>
      <c r="AE65" s="614" t="s">
        <v>86</v>
      </c>
      <c r="AF65" s="614"/>
      <c r="AG65" s="974">
        <v>1.35E-2</v>
      </c>
      <c r="AH65" s="351">
        <v>1.35E-2</v>
      </c>
      <c r="AI65" s="626">
        <v>1.35E-2</v>
      </c>
      <c r="AJ65" s="351">
        <v>1.35E-2</v>
      </c>
      <c r="AK65" s="351">
        <f t="shared" si="3"/>
        <v>1.35E-2</v>
      </c>
      <c r="AL65" s="351">
        <f t="shared" si="3"/>
        <v>1.35E-2</v>
      </c>
      <c r="AM65" s="351">
        <v>1.35E-2</v>
      </c>
      <c r="AN65" s="351" t="e">
        <f>#REF!</f>
        <v>#REF!</v>
      </c>
      <c r="AO65" s="351">
        <v>1.35E-2</v>
      </c>
      <c r="AP65" s="351">
        <f t="shared" si="4"/>
        <v>1.35E-2</v>
      </c>
      <c r="AQ65" s="350"/>
      <c r="AR65" s="350"/>
      <c r="AS65" s="350"/>
      <c r="AT65" s="372" t="s">
        <v>304</v>
      </c>
      <c r="AU65" s="376" t="s">
        <v>304</v>
      </c>
      <c r="AV65" s="376" t="s">
        <v>304</v>
      </c>
      <c r="AW65" s="376" t="s">
        <v>304</v>
      </c>
      <c r="AX65" s="681"/>
      <c r="AY65" s="377" t="s">
        <v>304</v>
      </c>
      <c r="AZ65" s="605">
        <v>40</v>
      </c>
      <c r="BA65" s="350">
        <v>1.3</v>
      </c>
      <c r="BB65" s="350">
        <v>1.3</v>
      </c>
      <c r="BC65" s="351">
        <v>1.3</v>
      </c>
      <c r="BD65" s="351">
        <v>1.3</v>
      </c>
      <c r="BE65" s="351">
        <v>1.3</v>
      </c>
      <c r="BF65" s="350">
        <v>1.3</v>
      </c>
      <c r="BG65" s="372"/>
      <c r="BH65" s="373"/>
      <c r="BI65" s="373"/>
      <c r="BJ65" s="373"/>
      <c r="BK65" s="374"/>
      <c r="BL65" s="822"/>
      <c r="BM65" s="335"/>
      <c r="BN65" s="1305"/>
      <c r="BO65" s="1305"/>
      <c r="BP65" s="336"/>
      <c r="BQ65" s="1305"/>
      <c r="BR65" s="1305"/>
      <c r="BS65" s="337"/>
      <c r="BT65" s="760"/>
      <c r="BU65" s="1305"/>
      <c r="BV65" s="1305"/>
      <c r="BW65" s="1305"/>
      <c r="BX65" s="1305"/>
      <c r="BY65" s="206"/>
      <c r="BZ65" s="1305"/>
      <c r="CA65" s="1305"/>
      <c r="CB65" s="206"/>
      <c r="CC65" s="1305"/>
      <c r="CD65" s="1305"/>
      <c r="CE65" s="206"/>
      <c r="CF65" s="1305"/>
      <c r="CG65" s="206"/>
      <c r="CH65" s="1305"/>
      <c r="CI65" s="206"/>
      <c r="CJ65" s="337"/>
      <c r="CK65" s="208"/>
      <c r="CL65" s="1267"/>
      <c r="CM65" s="1310"/>
      <c r="CN65" s="1276"/>
      <c r="CO65" s="1261"/>
      <c r="CP65" s="1296"/>
      <c r="CQ65" s="1276"/>
      <c r="CR65" s="1261"/>
      <c r="CS65" s="1261"/>
      <c r="CT65" s="212"/>
      <c r="CU65" s="793"/>
      <c r="CV65" s="794"/>
      <c r="CW65" s="212"/>
    </row>
    <row r="66" spans="1:101" ht="15.9" customHeight="1" x14ac:dyDescent="0.3">
      <c r="A66" s="156"/>
      <c r="B66" s="1237"/>
      <c r="C66" s="1237"/>
      <c r="D66" s="1311"/>
      <c r="E66" s="1237"/>
      <c r="F66" s="1237"/>
      <c r="G66" s="1237"/>
      <c r="H66" s="1237"/>
      <c r="I66" s="1237"/>
      <c r="J66" s="1237"/>
      <c r="K66" s="783"/>
      <c r="L66" s="783"/>
      <c r="M66" s="783"/>
      <c r="N66" s="1237"/>
      <c r="O66" s="1237"/>
      <c r="P66" s="1313"/>
      <c r="Q66" s="1315"/>
      <c r="R66" s="293"/>
      <c r="S66" s="349" t="s">
        <v>33</v>
      </c>
      <c r="T66" s="349" t="s">
        <v>33</v>
      </c>
      <c r="U66" s="349" t="s">
        <v>33</v>
      </c>
      <c r="V66" s="349" t="s">
        <v>33</v>
      </c>
      <c r="W66" s="349" t="s">
        <v>444</v>
      </c>
      <c r="X66" s="349" t="s">
        <v>444</v>
      </c>
      <c r="Y66" s="349" t="s">
        <v>33</v>
      </c>
      <c r="Z66" s="346"/>
      <c r="AA66" s="347"/>
      <c r="AB66" s="347"/>
      <c r="AC66" s="346" t="s">
        <v>186</v>
      </c>
      <c r="AD66" s="295" t="s">
        <v>58</v>
      </c>
      <c r="AE66" s="614" t="s">
        <v>57</v>
      </c>
      <c r="AF66" s="614"/>
      <c r="AG66" s="974">
        <v>1.1000000000000001E-3</v>
      </c>
      <c r="AH66" s="351">
        <v>1.1000000000000001E-3</v>
      </c>
      <c r="AI66" s="626">
        <v>1.1000000000000001E-3</v>
      </c>
      <c r="AJ66" s="351">
        <v>1.1000000000000001E-3</v>
      </c>
      <c r="AK66" s="351">
        <f t="shared" si="3"/>
        <v>1.1000000000000001E-3</v>
      </c>
      <c r="AL66" s="351">
        <f t="shared" si="3"/>
        <v>1.1000000000000001E-3</v>
      </c>
      <c r="AM66" s="351">
        <v>1.1000000000000001E-3</v>
      </c>
      <c r="AN66" s="351" t="e">
        <f>#REF!</f>
        <v>#REF!</v>
      </c>
      <c r="AO66" s="351">
        <v>1.1000000000000001E-3</v>
      </c>
      <c r="AP66" s="351">
        <f t="shared" si="4"/>
        <v>1.1000000000000001E-3</v>
      </c>
      <c r="AQ66" s="350"/>
      <c r="AR66" s="350"/>
      <c r="AS66" s="350"/>
      <c r="AT66" s="372" t="s">
        <v>304</v>
      </c>
      <c r="AU66" s="376" t="s">
        <v>304</v>
      </c>
      <c r="AV66" s="376" t="s">
        <v>304</v>
      </c>
      <c r="AW66" s="376" t="s">
        <v>304</v>
      </c>
      <c r="AX66" s="681"/>
      <c r="AY66" s="377" t="s">
        <v>304</v>
      </c>
      <c r="AZ66" s="605">
        <v>41</v>
      </c>
      <c r="BA66" s="350">
        <v>0.28000000000000003</v>
      </c>
      <c r="BB66" s="350">
        <v>0.28000000000000003</v>
      </c>
      <c r="BC66" s="351">
        <v>0.28000000000000003</v>
      </c>
      <c r="BD66" s="351">
        <v>0.28000000000000003</v>
      </c>
      <c r="BE66" s="351">
        <v>0.28000000000000003</v>
      </c>
      <c r="BF66" s="350">
        <v>0.28000000000000003</v>
      </c>
      <c r="BG66" s="372"/>
      <c r="BH66" s="373"/>
      <c r="BI66" s="373"/>
      <c r="BJ66" s="373"/>
      <c r="BK66" s="374"/>
      <c r="BL66" s="822"/>
      <c r="BM66" s="335"/>
      <c r="BN66" s="1305"/>
      <c r="BO66" s="1305"/>
      <c r="BP66" s="336"/>
      <c r="BQ66" s="1305"/>
      <c r="BR66" s="1305"/>
      <c r="BS66" s="337"/>
      <c r="BT66" s="760"/>
      <c r="BU66" s="1305"/>
      <c r="BV66" s="1305"/>
      <c r="BW66" s="1305"/>
      <c r="BX66" s="1305"/>
      <c r="BY66" s="206"/>
      <c r="BZ66" s="1305"/>
      <c r="CA66" s="1305"/>
      <c r="CB66" s="206"/>
      <c r="CC66" s="1305"/>
      <c r="CD66" s="1305"/>
      <c r="CE66" s="206"/>
      <c r="CF66" s="1305"/>
      <c r="CG66" s="206"/>
      <c r="CH66" s="1305"/>
      <c r="CI66" s="206"/>
      <c r="CJ66" s="337"/>
      <c r="CK66" s="208"/>
      <c r="CL66" s="1267"/>
      <c r="CM66" s="1310"/>
      <c r="CN66" s="1276"/>
      <c r="CO66" s="1261"/>
      <c r="CP66" s="1296"/>
      <c r="CQ66" s="1276"/>
      <c r="CR66" s="1261"/>
      <c r="CS66" s="1261"/>
      <c r="CT66" s="212"/>
      <c r="CU66" s="793"/>
      <c r="CV66" s="794"/>
      <c r="CW66" s="212"/>
    </row>
    <row r="67" spans="1:101" ht="15.9" customHeight="1" x14ac:dyDescent="0.3">
      <c r="A67" s="156"/>
      <c r="B67" s="1237"/>
      <c r="C67" s="1237"/>
      <c r="D67" s="1311"/>
      <c r="E67" s="1237"/>
      <c r="F67" s="1237"/>
      <c r="G67" s="1237"/>
      <c r="H67" s="1237"/>
      <c r="I67" s="1237"/>
      <c r="J67" s="1237"/>
      <c r="K67" s="783"/>
      <c r="L67" s="783"/>
      <c r="M67" s="783"/>
      <c r="N67" s="1237"/>
      <c r="O67" s="1237"/>
      <c r="P67" s="1313"/>
      <c r="Q67" s="1315"/>
      <c r="R67" s="293"/>
      <c r="S67" s="349" t="s">
        <v>33</v>
      </c>
      <c r="T67" s="349" t="s">
        <v>33</v>
      </c>
      <c r="U67" s="349" t="s">
        <v>33</v>
      </c>
      <c r="V67" s="349" t="s">
        <v>33</v>
      </c>
      <c r="W67" s="349" t="s">
        <v>444</v>
      </c>
      <c r="X67" s="349" t="s">
        <v>444</v>
      </c>
      <c r="Y67" s="349" t="s">
        <v>33</v>
      </c>
      <c r="Z67" s="346"/>
      <c r="AA67" s="347"/>
      <c r="AB67" s="347"/>
      <c r="AC67" s="346" t="s">
        <v>186</v>
      </c>
      <c r="AD67" s="295" t="s">
        <v>293</v>
      </c>
      <c r="AE67" s="614" t="s">
        <v>83</v>
      </c>
      <c r="AF67" s="614" t="s">
        <v>480</v>
      </c>
      <c r="AG67" s="973">
        <v>2.0000000000000001E-4</v>
      </c>
      <c r="AH67" s="351">
        <v>2.0000000000000001E-4</v>
      </c>
      <c r="AI67" s="627">
        <v>0.2</v>
      </c>
      <c r="AJ67" s="351">
        <v>0.2</v>
      </c>
      <c r="AK67" s="351">
        <f t="shared" si="3"/>
        <v>0.2</v>
      </c>
      <c r="AL67" s="351">
        <f t="shared" si="3"/>
        <v>0.2</v>
      </c>
      <c r="AM67" s="351">
        <v>0.2</v>
      </c>
      <c r="AN67" s="351" t="e">
        <f>#REF!</f>
        <v>#REF!</v>
      </c>
      <c r="AO67" s="351">
        <v>2.0000000000000001E-4</v>
      </c>
      <c r="AP67" s="351">
        <f t="shared" si="4"/>
        <v>0.2</v>
      </c>
      <c r="AQ67" s="350"/>
      <c r="AR67" s="350"/>
      <c r="AS67" s="350"/>
      <c r="AT67" s="372" t="s">
        <v>304</v>
      </c>
      <c r="AU67" s="376" t="s">
        <v>304</v>
      </c>
      <c r="AV67" s="376" t="s">
        <v>304</v>
      </c>
      <c r="AW67" s="376" t="s">
        <v>304</v>
      </c>
      <c r="AX67" s="681"/>
      <c r="AY67" s="377" t="s">
        <v>304</v>
      </c>
      <c r="AZ67" s="605">
        <v>42</v>
      </c>
      <c r="BA67" s="350">
        <v>0.39</v>
      </c>
      <c r="BB67" s="350">
        <v>0.39</v>
      </c>
      <c r="BC67" s="351">
        <v>0.39</v>
      </c>
      <c r="BD67" s="351">
        <v>0.39</v>
      </c>
      <c r="BE67" s="351">
        <v>0.39</v>
      </c>
      <c r="BF67" s="350">
        <v>0.39</v>
      </c>
      <c r="BG67" s="372"/>
      <c r="BH67" s="373"/>
      <c r="BI67" s="373"/>
      <c r="BJ67" s="373"/>
      <c r="BK67" s="374"/>
      <c r="BL67" s="822"/>
      <c r="BM67" s="335"/>
      <c r="BN67" s="1305"/>
      <c r="BO67" s="1305"/>
      <c r="BP67" s="336"/>
      <c r="BQ67" s="1305"/>
      <c r="BR67" s="1305"/>
      <c r="BS67" s="337"/>
      <c r="BT67" s="760"/>
      <c r="BU67" s="1305"/>
      <c r="BV67" s="1305"/>
      <c r="BW67" s="1305"/>
      <c r="BX67" s="1305"/>
      <c r="BY67" s="206"/>
      <c r="BZ67" s="1305"/>
      <c r="CA67" s="1305"/>
      <c r="CB67" s="206"/>
      <c r="CC67" s="1305"/>
      <c r="CD67" s="1305"/>
      <c r="CE67" s="206"/>
      <c r="CF67" s="1305"/>
      <c r="CG67" s="206"/>
      <c r="CH67" s="1305"/>
      <c r="CI67" s="206"/>
      <c r="CJ67" s="337"/>
      <c r="CK67" s="208"/>
      <c r="CL67" s="1267"/>
      <c r="CM67" s="1310"/>
      <c r="CN67" s="1276"/>
      <c r="CO67" s="1261"/>
      <c r="CP67" s="1296"/>
      <c r="CQ67" s="1276"/>
      <c r="CR67" s="1261"/>
      <c r="CS67" s="1261"/>
      <c r="CT67" s="212"/>
      <c r="CU67" s="793"/>
      <c r="CV67" s="794"/>
      <c r="CW67" s="212"/>
    </row>
    <row r="68" spans="1:101" ht="15.9" customHeight="1" x14ac:dyDescent="0.3">
      <c r="A68" s="156"/>
      <c r="B68" s="1237"/>
      <c r="C68" s="1237"/>
      <c r="D68" s="1311"/>
      <c r="E68" s="1237"/>
      <c r="F68" s="1237"/>
      <c r="G68" s="1237"/>
      <c r="H68" s="1237"/>
      <c r="I68" s="1237"/>
      <c r="J68" s="1237"/>
      <c r="K68" s="783"/>
      <c r="L68" s="783"/>
      <c r="M68" s="783"/>
      <c r="N68" s="1237"/>
      <c r="O68" s="1237"/>
      <c r="P68" s="1313"/>
      <c r="Q68" s="1315"/>
      <c r="R68" s="293"/>
      <c r="S68" s="349" t="s">
        <v>446</v>
      </c>
      <c r="T68" s="349" t="s">
        <v>446</v>
      </c>
      <c r="U68" s="349" t="s">
        <v>446</v>
      </c>
      <c r="V68" s="349" t="s">
        <v>446</v>
      </c>
      <c r="W68" s="349" t="s">
        <v>446</v>
      </c>
      <c r="X68" s="349" t="s">
        <v>446</v>
      </c>
      <c r="Y68" s="349" t="s">
        <v>33</v>
      </c>
      <c r="Z68" s="346">
        <v>5</v>
      </c>
      <c r="AA68" s="347"/>
      <c r="AB68" s="347"/>
      <c r="AC68" s="346" t="s">
        <v>186</v>
      </c>
      <c r="AD68" s="295" t="s">
        <v>70</v>
      </c>
      <c r="AE68" s="614" t="s">
        <v>481</v>
      </c>
      <c r="AF68" s="614" t="s">
        <v>71</v>
      </c>
      <c r="AG68" s="974">
        <v>0.39989999999999998</v>
      </c>
      <c r="AH68" s="351">
        <v>0.39989999999999998</v>
      </c>
      <c r="AI68" s="626">
        <v>0.39989999999999998</v>
      </c>
      <c r="AJ68" s="351">
        <v>0.39989999999999998</v>
      </c>
      <c r="AK68" s="351">
        <f t="shared" si="3"/>
        <v>0.39989999999999998</v>
      </c>
      <c r="AL68" s="351">
        <f t="shared" si="3"/>
        <v>0.39989999999999998</v>
      </c>
      <c r="AM68" s="351">
        <v>0.39989999999999998</v>
      </c>
      <c r="AN68" s="351" t="e">
        <f>#REF!</f>
        <v>#REF!</v>
      </c>
      <c r="AO68" s="351">
        <v>0.39989999999999998</v>
      </c>
      <c r="AP68" s="351">
        <f t="shared" si="4"/>
        <v>0.39989999999999998</v>
      </c>
      <c r="AQ68" s="350"/>
      <c r="AR68" s="350"/>
      <c r="AS68" s="350"/>
      <c r="AT68" s="372" t="s">
        <v>304</v>
      </c>
      <c r="AU68" s="376" t="s">
        <v>304</v>
      </c>
      <c r="AV68" s="376" t="s">
        <v>304</v>
      </c>
      <c r="AW68" s="376" t="s">
        <v>304</v>
      </c>
      <c r="AX68" s="681"/>
      <c r="AY68" s="377" t="s">
        <v>304</v>
      </c>
      <c r="AZ68" s="605">
        <v>43</v>
      </c>
      <c r="BA68" s="350">
        <v>1.08</v>
      </c>
      <c r="BB68" s="350">
        <v>1.08</v>
      </c>
      <c r="BC68" s="351">
        <v>1.08</v>
      </c>
      <c r="BD68" s="351">
        <v>1.08</v>
      </c>
      <c r="BE68" s="351">
        <v>1.08</v>
      </c>
      <c r="BF68" s="350">
        <v>1.08</v>
      </c>
      <c r="BG68" s="372"/>
      <c r="BH68" s="373"/>
      <c r="BI68" s="373"/>
      <c r="BJ68" s="373"/>
      <c r="BK68" s="374"/>
      <c r="BL68" s="822"/>
      <c r="BM68" s="335"/>
      <c r="BN68" s="1305"/>
      <c r="BO68" s="1305"/>
      <c r="BP68" s="336"/>
      <c r="BQ68" s="1305"/>
      <c r="BR68" s="1305"/>
      <c r="BS68" s="337"/>
      <c r="BT68" s="760"/>
      <c r="BU68" s="1305"/>
      <c r="BV68" s="1305"/>
      <c r="BW68" s="1305"/>
      <c r="BX68" s="1305"/>
      <c r="BY68" s="206"/>
      <c r="BZ68" s="1305"/>
      <c r="CA68" s="1305"/>
      <c r="CB68" s="206"/>
      <c r="CC68" s="1305"/>
      <c r="CD68" s="1305"/>
      <c r="CE68" s="206"/>
      <c r="CF68" s="1305"/>
      <c r="CG68" s="206"/>
      <c r="CH68" s="1305"/>
      <c r="CI68" s="206"/>
      <c r="CJ68" s="337"/>
      <c r="CK68" s="208"/>
      <c r="CL68" s="1267"/>
      <c r="CM68" s="1310"/>
      <c r="CN68" s="1276"/>
      <c r="CO68" s="1261"/>
      <c r="CP68" s="1296"/>
      <c r="CQ68" s="1276"/>
      <c r="CR68" s="1261"/>
      <c r="CS68" s="1261"/>
      <c r="CT68" s="212"/>
      <c r="CU68" s="793"/>
      <c r="CV68" s="794"/>
      <c r="CW68" s="212"/>
    </row>
    <row r="69" spans="1:101" ht="15.9" customHeight="1" x14ac:dyDescent="0.3">
      <c r="A69" s="156"/>
      <c r="B69" s="1237"/>
      <c r="C69" s="1237"/>
      <c r="D69" s="1311"/>
      <c r="E69" s="1237"/>
      <c r="F69" s="1237"/>
      <c r="G69" s="1237"/>
      <c r="H69" s="1237"/>
      <c r="I69" s="1237"/>
      <c r="J69" s="1237"/>
      <c r="K69" s="783"/>
      <c r="L69" s="783"/>
      <c r="M69" s="783"/>
      <c r="N69" s="1237"/>
      <c r="O69" s="1237"/>
      <c r="P69" s="1313"/>
      <c r="Q69" s="1315"/>
      <c r="R69" s="293"/>
      <c r="S69" s="349" t="s">
        <v>446</v>
      </c>
      <c r="T69" s="349" t="s">
        <v>446</v>
      </c>
      <c r="U69" s="349" t="s">
        <v>446</v>
      </c>
      <c r="V69" s="349" t="s">
        <v>446</v>
      </c>
      <c r="W69" s="349" t="s">
        <v>446</v>
      </c>
      <c r="X69" s="349" t="s">
        <v>446</v>
      </c>
      <c r="Y69" s="349" t="s">
        <v>33</v>
      </c>
      <c r="Z69" s="346"/>
      <c r="AA69" s="347"/>
      <c r="AB69" s="347"/>
      <c r="AC69" s="346" t="s">
        <v>186</v>
      </c>
      <c r="AD69" s="295" t="s">
        <v>294</v>
      </c>
      <c r="AE69" s="614" t="s">
        <v>482</v>
      </c>
      <c r="AF69" s="614" t="s">
        <v>73</v>
      </c>
      <c r="AG69" s="974">
        <v>5.9999999999999995E-4</v>
      </c>
      <c r="AH69" s="351">
        <v>5.9999999999999995E-4</v>
      </c>
      <c r="AI69" s="626">
        <v>5.9999999999999995E-4</v>
      </c>
      <c r="AJ69" s="351">
        <v>5.9999999999999995E-4</v>
      </c>
      <c r="AK69" s="351">
        <f t="shared" si="3"/>
        <v>5.9999999999999995E-4</v>
      </c>
      <c r="AL69" s="351">
        <f t="shared" si="3"/>
        <v>5.9999999999999995E-4</v>
      </c>
      <c r="AM69" s="351">
        <v>5.9999999999999995E-4</v>
      </c>
      <c r="AN69" s="351" t="e">
        <f>#REF!</f>
        <v>#REF!</v>
      </c>
      <c r="AO69" s="351">
        <v>5.9999999999999995E-4</v>
      </c>
      <c r="AP69" s="351">
        <f t="shared" si="4"/>
        <v>5.9999999999999995E-4</v>
      </c>
      <c r="AQ69" s="350"/>
      <c r="AR69" s="350"/>
      <c r="AS69" s="350"/>
      <c r="AT69" s="372" t="s">
        <v>304</v>
      </c>
      <c r="AU69" s="376" t="s">
        <v>304</v>
      </c>
      <c r="AV69" s="376" t="s">
        <v>304</v>
      </c>
      <c r="AW69" s="376" t="s">
        <v>304</v>
      </c>
      <c r="AX69" s="681"/>
      <c r="AY69" s="377" t="s">
        <v>304</v>
      </c>
      <c r="AZ69" s="605">
        <v>44</v>
      </c>
      <c r="BA69" s="350">
        <v>0.01</v>
      </c>
      <c r="BB69" s="350">
        <v>0.01</v>
      </c>
      <c r="BC69" s="351">
        <v>0.01</v>
      </c>
      <c r="BD69" s="351">
        <v>0.01</v>
      </c>
      <c r="BE69" s="351">
        <v>0.01</v>
      </c>
      <c r="BF69" s="350">
        <v>0.01</v>
      </c>
      <c r="BG69" s="372"/>
      <c r="BH69" s="373"/>
      <c r="BI69" s="373"/>
      <c r="BJ69" s="373"/>
      <c r="BK69" s="374"/>
      <c r="BL69" s="822"/>
      <c r="BM69" s="335"/>
      <c r="BN69" s="1305"/>
      <c r="BO69" s="1305"/>
      <c r="BP69" s="336"/>
      <c r="BQ69" s="1305"/>
      <c r="BR69" s="1305"/>
      <c r="BS69" s="337"/>
      <c r="BT69" s="760"/>
      <c r="BU69" s="1305"/>
      <c r="BV69" s="1305"/>
      <c r="BW69" s="1305"/>
      <c r="BX69" s="1305"/>
      <c r="BY69" s="206"/>
      <c r="BZ69" s="1305"/>
      <c r="CA69" s="1305"/>
      <c r="CB69" s="206"/>
      <c r="CC69" s="1305"/>
      <c r="CD69" s="1305"/>
      <c r="CE69" s="206"/>
      <c r="CF69" s="1305"/>
      <c r="CG69" s="206"/>
      <c r="CH69" s="1305"/>
      <c r="CI69" s="206"/>
      <c r="CJ69" s="337"/>
      <c r="CK69" s="208"/>
      <c r="CL69" s="1267"/>
      <c r="CM69" s="1310"/>
      <c r="CN69" s="1276"/>
      <c r="CO69" s="1261"/>
      <c r="CP69" s="1296"/>
      <c r="CQ69" s="1276"/>
      <c r="CR69" s="1261"/>
      <c r="CS69" s="1261"/>
      <c r="CT69" s="212"/>
      <c r="CU69" s="793"/>
      <c r="CV69" s="794"/>
      <c r="CW69" s="212"/>
    </row>
    <row r="70" spans="1:101" ht="15.9" customHeight="1" x14ac:dyDescent="0.3">
      <c r="A70" s="156"/>
      <c r="B70" s="1237"/>
      <c r="C70" s="1237"/>
      <c r="D70" s="1311"/>
      <c r="E70" s="1237"/>
      <c r="F70" s="1237"/>
      <c r="G70" s="1237"/>
      <c r="H70" s="1237"/>
      <c r="I70" s="1237"/>
      <c r="J70" s="1237"/>
      <c r="K70" s="783"/>
      <c r="L70" s="783"/>
      <c r="M70" s="783"/>
      <c r="N70" s="1237"/>
      <c r="O70" s="1237"/>
      <c r="P70" s="1313"/>
      <c r="Q70" s="1315"/>
      <c r="R70" s="293"/>
      <c r="S70" s="347" t="s">
        <v>414</v>
      </c>
      <c r="T70" s="349" t="s">
        <v>33</v>
      </c>
      <c r="U70" s="347" t="s">
        <v>414</v>
      </c>
      <c r="V70" s="349" t="s">
        <v>33</v>
      </c>
      <c r="W70" s="347" t="s">
        <v>414</v>
      </c>
      <c r="X70" s="347" t="s">
        <v>414</v>
      </c>
      <c r="Y70" s="349" t="s">
        <v>33</v>
      </c>
      <c r="Z70" s="346"/>
      <c r="AA70" s="347"/>
      <c r="AB70" s="347"/>
      <c r="AC70" s="346" t="s">
        <v>186</v>
      </c>
      <c r="AD70" s="295" t="s">
        <v>296</v>
      </c>
      <c r="AE70" s="614" t="s">
        <v>483</v>
      </c>
      <c r="AF70" s="614" t="s">
        <v>484</v>
      </c>
      <c r="AG70" s="973">
        <v>2.5</v>
      </c>
      <c r="AH70" s="300">
        <v>2.5</v>
      </c>
      <c r="AI70" s="627">
        <v>2.5</v>
      </c>
      <c r="AJ70" s="300">
        <v>2.5</v>
      </c>
      <c r="AK70" s="300">
        <f t="shared" si="3"/>
        <v>2.5</v>
      </c>
      <c r="AL70" s="300">
        <f t="shared" si="3"/>
        <v>2.5</v>
      </c>
      <c r="AM70" s="300">
        <v>2.5</v>
      </c>
      <c r="AN70" s="300" t="e">
        <f>#REF!</f>
        <v>#REF!</v>
      </c>
      <c r="AO70" s="300">
        <v>2.5</v>
      </c>
      <c r="AP70" s="300">
        <f t="shared" si="4"/>
        <v>2.5</v>
      </c>
      <c r="AQ70" s="299"/>
      <c r="AR70" s="299"/>
      <c r="AS70" s="299"/>
      <c r="AT70" s="372" t="s">
        <v>304</v>
      </c>
      <c r="AU70" s="376" t="s">
        <v>304</v>
      </c>
      <c r="AV70" s="376" t="s">
        <v>304</v>
      </c>
      <c r="AW70" s="376" t="s">
        <v>304</v>
      </c>
      <c r="AX70" s="681"/>
      <c r="AY70" s="377" t="s">
        <v>304</v>
      </c>
      <c r="AZ70" s="605">
        <v>45</v>
      </c>
      <c r="BA70" s="299">
        <v>1.212</v>
      </c>
      <c r="BB70" s="299">
        <v>1.212</v>
      </c>
      <c r="BC70" s="300">
        <v>1.212</v>
      </c>
      <c r="BD70" s="300">
        <v>1.212</v>
      </c>
      <c r="BE70" s="300">
        <v>1.212</v>
      </c>
      <c r="BF70" s="299">
        <v>1.212</v>
      </c>
      <c r="BG70" s="372"/>
      <c r="BH70" s="373"/>
      <c r="BI70" s="373"/>
      <c r="BJ70" s="373"/>
      <c r="BK70" s="374"/>
      <c r="BL70" s="822"/>
      <c r="BM70" s="335"/>
      <c r="BN70" s="1305"/>
      <c r="BO70" s="1305"/>
      <c r="BP70" s="336"/>
      <c r="BQ70" s="1305"/>
      <c r="BR70" s="1305"/>
      <c r="BS70" s="337"/>
      <c r="BT70" s="760"/>
      <c r="BU70" s="1305"/>
      <c r="BV70" s="1305"/>
      <c r="BW70" s="1305"/>
      <c r="BX70" s="1305"/>
      <c r="BY70" s="206"/>
      <c r="BZ70" s="1305"/>
      <c r="CA70" s="1305"/>
      <c r="CB70" s="206"/>
      <c r="CC70" s="1305"/>
      <c r="CD70" s="1305"/>
      <c r="CE70" s="206"/>
      <c r="CF70" s="1305"/>
      <c r="CG70" s="206"/>
      <c r="CH70" s="1305"/>
      <c r="CI70" s="206"/>
      <c r="CJ70" s="337"/>
      <c r="CK70" s="208"/>
      <c r="CL70" s="1267"/>
      <c r="CM70" s="1310"/>
      <c r="CN70" s="1276"/>
      <c r="CO70" s="1261"/>
      <c r="CP70" s="1296"/>
      <c r="CQ70" s="1276"/>
      <c r="CR70" s="1261"/>
      <c r="CS70" s="1261"/>
      <c r="CT70" s="212"/>
      <c r="CU70" s="793"/>
      <c r="CV70" s="794"/>
      <c r="CW70" s="212"/>
    </row>
    <row r="71" spans="1:101" ht="15.9" customHeight="1" x14ac:dyDescent="0.3">
      <c r="A71" s="156"/>
      <c r="B71" s="1237"/>
      <c r="C71" s="1237"/>
      <c r="D71" s="1311"/>
      <c r="E71" s="1237"/>
      <c r="F71" s="1237"/>
      <c r="G71" s="1237"/>
      <c r="H71" s="1237"/>
      <c r="I71" s="1237"/>
      <c r="J71" s="1237"/>
      <c r="K71" s="783"/>
      <c r="L71" s="783"/>
      <c r="M71" s="783"/>
      <c r="N71" s="1237"/>
      <c r="O71" s="1237"/>
      <c r="P71" s="1313"/>
      <c r="Q71" s="1315"/>
      <c r="R71" s="293"/>
      <c r="S71" s="347" t="s">
        <v>485</v>
      </c>
      <c r="T71" s="349" t="s">
        <v>33</v>
      </c>
      <c r="U71" s="347" t="s">
        <v>485</v>
      </c>
      <c r="V71" s="349" t="s">
        <v>33</v>
      </c>
      <c r="W71" s="349" t="s">
        <v>485</v>
      </c>
      <c r="X71" s="347" t="s">
        <v>485</v>
      </c>
      <c r="Y71" s="349" t="s">
        <v>33</v>
      </c>
      <c r="Z71" s="346"/>
      <c r="AA71" s="347"/>
      <c r="AB71" s="347"/>
      <c r="AC71" s="346" t="s">
        <v>186</v>
      </c>
      <c r="AD71" s="295" t="s">
        <v>314</v>
      </c>
      <c r="AE71" s="614" t="s">
        <v>486</v>
      </c>
      <c r="AF71" s="614" t="s">
        <v>46</v>
      </c>
      <c r="AG71" s="974">
        <v>0.4284</v>
      </c>
      <c r="AH71" s="351">
        <v>0.4284</v>
      </c>
      <c r="AI71" s="626">
        <v>0.4284</v>
      </c>
      <c r="AJ71" s="351">
        <v>0.4284</v>
      </c>
      <c r="AK71" s="351">
        <f t="shared" si="3"/>
        <v>0.4284</v>
      </c>
      <c r="AL71" s="351">
        <f t="shared" si="3"/>
        <v>0.4284</v>
      </c>
      <c r="AM71" s="351">
        <v>0.4284</v>
      </c>
      <c r="AN71" s="351" t="e">
        <f>#REF!</f>
        <v>#REF!</v>
      </c>
      <c r="AO71" s="351">
        <v>0.4284</v>
      </c>
      <c r="AP71" s="351">
        <f t="shared" si="4"/>
        <v>0.4284</v>
      </c>
      <c r="AQ71" s="350"/>
      <c r="AR71" s="350"/>
      <c r="AS71" s="350"/>
      <c r="AT71" s="372" t="s">
        <v>304</v>
      </c>
      <c r="AU71" s="376" t="s">
        <v>304</v>
      </c>
      <c r="AV71" s="376" t="s">
        <v>304</v>
      </c>
      <c r="AW71" s="376" t="s">
        <v>304</v>
      </c>
      <c r="AX71" s="681"/>
      <c r="AY71" s="377" t="s">
        <v>304</v>
      </c>
      <c r="AZ71" s="605">
        <v>46</v>
      </c>
      <c r="BA71" s="350">
        <v>0</v>
      </c>
      <c r="BB71" s="350">
        <v>0</v>
      </c>
      <c r="BC71" s="351">
        <v>0</v>
      </c>
      <c r="BD71" s="351">
        <v>0</v>
      </c>
      <c r="BE71" s="351">
        <v>0</v>
      </c>
      <c r="BF71" s="350">
        <v>0</v>
      </c>
      <c r="BG71" s="372"/>
      <c r="BH71" s="373"/>
      <c r="BI71" s="373"/>
      <c r="BJ71" s="373"/>
      <c r="BK71" s="374"/>
      <c r="BL71" s="822"/>
      <c r="BM71" s="335"/>
      <c r="BN71" s="1305"/>
      <c r="BO71" s="1305"/>
      <c r="BP71" s="336"/>
      <c r="BQ71" s="1305"/>
      <c r="BR71" s="1305"/>
      <c r="BS71" s="337"/>
      <c r="BT71" s="760"/>
      <c r="BU71" s="1305"/>
      <c r="BV71" s="1305"/>
      <c r="BW71" s="1305"/>
      <c r="BX71" s="1305"/>
      <c r="BY71" s="206"/>
      <c r="BZ71" s="1305"/>
      <c r="CA71" s="1305"/>
      <c r="CB71" s="206"/>
      <c r="CC71" s="1305"/>
      <c r="CD71" s="1305"/>
      <c r="CE71" s="206"/>
      <c r="CF71" s="1305"/>
      <c r="CG71" s="206"/>
      <c r="CH71" s="1305"/>
      <c r="CI71" s="206"/>
      <c r="CJ71" s="337"/>
      <c r="CK71" s="208"/>
      <c r="CL71" s="1267"/>
      <c r="CM71" s="1310"/>
      <c r="CN71" s="1276"/>
      <c r="CO71" s="1261"/>
      <c r="CP71" s="1296"/>
      <c r="CQ71" s="1276"/>
      <c r="CR71" s="1261"/>
      <c r="CS71" s="1261"/>
      <c r="CT71" s="212"/>
      <c r="CU71" s="793"/>
      <c r="CV71" s="794"/>
      <c r="CW71" s="212"/>
    </row>
    <row r="72" spans="1:101" ht="15.9" customHeight="1" x14ac:dyDescent="0.3">
      <c r="A72" s="156"/>
      <c r="B72" s="1237"/>
      <c r="C72" s="1237"/>
      <c r="D72" s="1311"/>
      <c r="E72" s="1237"/>
      <c r="F72" s="1237"/>
      <c r="G72" s="1237"/>
      <c r="H72" s="1237"/>
      <c r="I72" s="1237"/>
      <c r="J72" s="1237"/>
      <c r="K72" s="783"/>
      <c r="L72" s="783"/>
      <c r="M72" s="783"/>
      <c r="N72" s="1237"/>
      <c r="O72" s="1237"/>
      <c r="P72" s="1313"/>
      <c r="Q72" s="1315"/>
      <c r="R72" s="293"/>
      <c r="S72" s="347" t="s">
        <v>315</v>
      </c>
      <c r="T72" s="349" t="s">
        <v>33</v>
      </c>
      <c r="U72" s="347" t="s">
        <v>315</v>
      </c>
      <c r="V72" s="349" t="s">
        <v>33</v>
      </c>
      <c r="W72" s="349" t="s">
        <v>315</v>
      </c>
      <c r="X72" s="347" t="s">
        <v>315</v>
      </c>
      <c r="Y72" s="349" t="s">
        <v>33</v>
      </c>
      <c r="Z72" s="346"/>
      <c r="AA72" s="347"/>
      <c r="AB72" s="347"/>
      <c r="AC72" s="346" t="s">
        <v>186</v>
      </c>
      <c r="AD72" s="295" t="s">
        <v>316</v>
      </c>
      <c r="AE72" s="614" t="s">
        <v>487</v>
      </c>
      <c r="AF72" s="614" t="s">
        <v>89</v>
      </c>
      <c r="AG72" s="973">
        <v>0.5</v>
      </c>
      <c r="AH72" s="300">
        <v>0.5</v>
      </c>
      <c r="AI72" s="627">
        <v>0.5</v>
      </c>
      <c r="AJ72" s="300">
        <v>0.5</v>
      </c>
      <c r="AK72" s="300">
        <f t="shared" si="3"/>
        <v>0.5</v>
      </c>
      <c r="AL72" s="300">
        <f t="shared" si="3"/>
        <v>0.5</v>
      </c>
      <c r="AM72" s="300">
        <v>0.5</v>
      </c>
      <c r="AN72" s="300" t="e">
        <f>#REF!</f>
        <v>#REF!</v>
      </c>
      <c r="AO72" s="300">
        <v>0.5</v>
      </c>
      <c r="AP72" s="300">
        <f t="shared" si="4"/>
        <v>0.5</v>
      </c>
      <c r="AQ72" s="299"/>
      <c r="AR72" s="299"/>
      <c r="AS72" s="299"/>
      <c r="AT72" s="372" t="s">
        <v>304</v>
      </c>
      <c r="AU72" s="376" t="s">
        <v>304</v>
      </c>
      <c r="AV72" s="376" t="s">
        <v>304</v>
      </c>
      <c r="AW72" s="376" t="s">
        <v>304</v>
      </c>
      <c r="AX72" s="681"/>
      <c r="AY72" s="377" t="s">
        <v>304</v>
      </c>
      <c r="AZ72" s="605">
        <v>47</v>
      </c>
      <c r="BA72" s="299">
        <v>0</v>
      </c>
      <c r="BB72" s="299">
        <v>0</v>
      </c>
      <c r="BC72" s="300">
        <v>0</v>
      </c>
      <c r="BD72" s="300">
        <v>0</v>
      </c>
      <c r="BE72" s="300">
        <v>0</v>
      </c>
      <c r="BF72" s="299">
        <v>0</v>
      </c>
      <c r="BG72" s="372"/>
      <c r="BH72" s="373"/>
      <c r="BI72" s="373"/>
      <c r="BJ72" s="373"/>
      <c r="BK72" s="374"/>
      <c r="BL72" s="822"/>
      <c r="BM72" s="335"/>
      <c r="BN72" s="1305"/>
      <c r="BO72" s="1305"/>
      <c r="BP72" s="336"/>
      <c r="BQ72" s="1305"/>
      <c r="BR72" s="1305"/>
      <c r="BS72" s="337"/>
      <c r="BT72" s="760"/>
      <c r="BU72" s="1305"/>
      <c r="BV72" s="1305"/>
      <c r="BW72" s="1305"/>
      <c r="BX72" s="1305"/>
      <c r="BY72" s="206"/>
      <c r="BZ72" s="1305"/>
      <c r="CA72" s="1305"/>
      <c r="CB72" s="206"/>
      <c r="CC72" s="1305"/>
      <c r="CD72" s="1305"/>
      <c r="CE72" s="206"/>
      <c r="CF72" s="1305"/>
      <c r="CG72" s="206"/>
      <c r="CH72" s="1305"/>
      <c r="CI72" s="206"/>
      <c r="CJ72" s="337"/>
      <c r="CK72" s="208"/>
      <c r="CL72" s="1267"/>
      <c r="CM72" s="1310"/>
      <c r="CN72" s="1276"/>
      <c r="CO72" s="1261"/>
      <c r="CP72" s="1296"/>
      <c r="CQ72" s="1276"/>
      <c r="CR72" s="1261"/>
      <c r="CS72" s="1261"/>
      <c r="CT72" s="212"/>
      <c r="CU72" s="793"/>
      <c r="CV72" s="794"/>
      <c r="CW72" s="212"/>
    </row>
    <row r="73" spans="1:101" ht="15.9" customHeight="1" x14ac:dyDescent="0.3">
      <c r="A73" s="156"/>
      <c r="B73" s="1237"/>
      <c r="C73" s="1237"/>
      <c r="D73" s="1311"/>
      <c r="E73" s="1237"/>
      <c r="F73" s="1237"/>
      <c r="G73" s="1237"/>
      <c r="H73" s="1237"/>
      <c r="I73" s="1237"/>
      <c r="J73" s="1237"/>
      <c r="K73" s="783"/>
      <c r="L73" s="783"/>
      <c r="M73" s="783"/>
      <c r="N73" s="1237"/>
      <c r="O73" s="1237"/>
      <c r="P73" s="1313"/>
      <c r="Q73" s="1315"/>
      <c r="R73" s="293"/>
      <c r="S73" s="347" t="s">
        <v>488</v>
      </c>
      <c r="T73" s="349" t="s">
        <v>33</v>
      </c>
      <c r="U73" s="347" t="s">
        <v>488</v>
      </c>
      <c r="V73" s="349" t="s">
        <v>33</v>
      </c>
      <c r="W73" s="349" t="s">
        <v>488</v>
      </c>
      <c r="X73" s="347" t="s">
        <v>488</v>
      </c>
      <c r="Y73" s="349" t="s">
        <v>33</v>
      </c>
      <c r="Z73" s="346"/>
      <c r="AA73" s="347"/>
      <c r="AB73" s="347"/>
      <c r="AC73" s="346" t="s">
        <v>186</v>
      </c>
      <c r="AD73" s="295" t="s">
        <v>317</v>
      </c>
      <c r="AE73" s="614" t="s">
        <v>489</v>
      </c>
      <c r="AF73" s="614" t="s">
        <v>47</v>
      </c>
      <c r="AG73" s="974">
        <v>0.18340000000000001</v>
      </c>
      <c r="AH73" s="351">
        <v>0.18340000000000001</v>
      </c>
      <c r="AI73" s="626">
        <v>0.18340000000000001</v>
      </c>
      <c r="AJ73" s="351">
        <v>0.18340000000000001</v>
      </c>
      <c r="AK73" s="351">
        <f t="shared" si="3"/>
        <v>0.18340000000000001</v>
      </c>
      <c r="AL73" s="351">
        <f t="shared" si="3"/>
        <v>0.18340000000000001</v>
      </c>
      <c r="AM73" s="351">
        <v>0.18340000000000001</v>
      </c>
      <c r="AN73" s="351" t="e">
        <f>#REF!</f>
        <v>#REF!</v>
      </c>
      <c r="AO73" s="351">
        <v>0.18340000000000001</v>
      </c>
      <c r="AP73" s="351">
        <f t="shared" si="4"/>
        <v>0.18340000000000001</v>
      </c>
      <c r="AQ73" s="350"/>
      <c r="AR73" s="350"/>
      <c r="AS73" s="350"/>
      <c r="AT73" s="372" t="s">
        <v>304</v>
      </c>
      <c r="AU73" s="376" t="s">
        <v>304</v>
      </c>
      <c r="AV73" s="376" t="s">
        <v>304</v>
      </c>
      <c r="AW73" s="376" t="s">
        <v>304</v>
      </c>
      <c r="AX73" s="681"/>
      <c r="AY73" s="377" t="s">
        <v>304</v>
      </c>
      <c r="AZ73" s="605">
        <v>48</v>
      </c>
      <c r="BA73" s="350">
        <v>0</v>
      </c>
      <c r="BB73" s="350">
        <v>0</v>
      </c>
      <c r="BC73" s="351">
        <v>0</v>
      </c>
      <c r="BD73" s="351">
        <v>0</v>
      </c>
      <c r="BE73" s="351">
        <v>0</v>
      </c>
      <c r="BF73" s="350">
        <v>0</v>
      </c>
      <c r="BG73" s="372"/>
      <c r="BH73" s="373"/>
      <c r="BI73" s="373"/>
      <c r="BJ73" s="373"/>
      <c r="BK73" s="374"/>
      <c r="BL73" s="822"/>
      <c r="BM73" s="335"/>
      <c r="BN73" s="1305"/>
      <c r="BO73" s="1305"/>
      <c r="BP73" s="336"/>
      <c r="BQ73" s="1305"/>
      <c r="BR73" s="1305"/>
      <c r="BS73" s="337"/>
      <c r="BT73" s="760"/>
      <c r="BU73" s="1305"/>
      <c r="BV73" s="1305"/>
      <c r="BW73" s="1305"/>
      <c r="BX73" s="1305"/>
      <c r="BY73" s="206"/>
      <c r="BZ73" s="1305"/>
      <c r="CA73" s="1305"/>
      <c r="CB73" s="206"/>
      <c r="CC73" s="1305"/>
      <c r="CD73" s="1305"/>
      <c r="CE73" s="206"/>
      <c r="CF73" s="1305"/>
      <c r="CG73" s="206"/>
      <c r="CH73" s="1305"/>
      <c r="CI73" s="206"/>
      <c r="CJ73" s="337"/>
      <c r="CK73" s="208"/>
      <c r="CL73" s="1267"/>
      <c r="CM73" s="1310"/>
      <c r="CN73" s="1276"/>
      <c r="CO73" s="1261"/>
      <c r="CP73" s="1296"/>
      <c r="CQ73" s="1276"/>
      <c r="CR73" s="1261"/>
      <c r="CS73" s="1261"/>
      <c r="CT73" s="212"/>
      <c r="CU73" s="793"/>
      <c r="CV73" s="794"/>
      <c r="CW73" s="212"/>
    </row>
    <row r="74" spans="1:101" ht="15.9" customHeight="1" x14ac:dyDescent="0.3">
      <c r="A74" s="156"/>
      <c r="B74" s="1237"/>
      <c r="C74" s="1237"/>
      <c r="D74" s="1311"/>
      <c r="E74" s="1237"/>
      <c r="F74" s="1237"/>
      <c r="G74" s="1237"/>
      <c r="H74" s="1237"/>
      <c r="I74" s="1237"/>
      <c r="J74" s="1237"/>
      <c r="K74" s="783"/>
      <c r="L74" s="783"/>
      <c r="M74" s="783"/>
      <c r="N74" s="1237"/>
      <c r="O74" s="1237"/>
      <c r="P74" s="1313"/>
      <c r="Q74" s="1315"/>
      <c r="R74" s="293"/>
      <c r="S74" s="347" t="s">
        <v>490</v>
      </c>
      <c r="T74" s="349" t="s">
        <v>33</v>
      </c>
      <c r="U74" s="347" t="s">
        <v>490</v>
      </c>
      <c r="V74" s="349" t="s">
        <v>33</v>
      </c>
      <c r="W74" s="349" t="s">
        <v>490</v>
      </c>
      <c r="X74" s="347" t="s">
        <v>490</v>
      </c>
      <c r="Y74" s="349" t="s">
        <v>33</v>
      </c>
      <c r="Z74" s="346"/>
      <c r="AA74" s="347"/>
      <c r="AB74" s="347"/>
      <c r="AC74" s="346" t="s">
        <v>186</v>
      </c>
      <c r="AD74" s="295" t="s">
        <v>318</v>
      </c>
      <c r="AE74" s="614" t="s">
        <v>491</v>
      </c>
      <c r="AF74" s="614" t="s">
        <v>63</v>
      </c>
      <c r="AG74" s="973">
        <v>1E-4</v>
      </c>
      <c r="AH74" s="351">
        <v>1E-4</v>
      </c>
      <c r="AI74" s="627">
        <v>0.2</v>
      </c>
      <c r="AJ74" s="351">
        <v>0.2</v>
      </c>
      <c r="AK74" s="351">
        <f t="shared" si="3"/>
        <v>0.2</v>
      </c>
      <c r="AL74" s="351">
        <f t="shared" si="3"/>
        <v>0.2</v>
      </c>
      <c r="AM74" s="351">
        <v>0.2</v>
      </c>
      <c r="AN74" s="351" t="e">
        <f>#REF!</f>
        <v>#REF!</v>
      </c>
      <c r="AO74" s="351">
        <v>1E-4</v>
      </c>
      <c r="AP74" s="351">
        <f t="shared" si="4"/>
        <v>0.2</v>
      </c>
      <c r="AQ74" s="350"/>
      <c r="AR74" s="350"/>
      <c r="AS74" s="350"/>
      <c r="AT74" s="372" t="s">
        <v>304</v>
      </c>
      <c r="AU74" s="376" t="s">
        <v>304</v>
      </c>
      <c r="AV74" s="376" t="s">
        <v>304</v>
      </c>
      <c r="AW74" s="376" t="s">
        <v>304</v>
      </c>
      <c r="AX74" s="681"/>
      <c r="AY74" s="377" t="s">
        <v>304</v>
      </c>
      <c r="AZ74" s="605">
        <v>49</v>
      </c>
      <c r="BA74" s="350">
        <v>0.62</v>
      </c>
      <c r="BB74" s="350">
        <v>0.62</v>
      </c>
      <c r="BC74" s="351">
        <v>0.62</v>
      </c>
      <c r="BD74" s="351">
        <v>0.62</v>
      </c>
      <c r="BE74" s="351">
        <v>0.62</v>
      </c>
      <c r="BF74" s="350">
        <v>0.62</v>
      </c>
      <c r="BG74" s="372"/>
      <c r="BH74" s="373"/>
      <c r="BI74" s="373"/>
      <c r="BJ74" s="373"/>
      <c r="BK74" s="374"/>
      <c r="BL74" s="822"/>
      <c r="BM74" s="335"/>
      <c r="BN74" s="1305"/>
      <c r="BO74" s="1305"/>
      <c r="BP74" s="336"/>
      <c r="BQ74" s="1305"/>
      <c r="BR74" s="1305"/>
      <c r="BS74" s="337"/>
      <c r="BT74" s="760"/>
      <c r="BU74" s="1305"/>
      <c r="BV74" s="1305"/>
      <c r="BW74" s="1305"/>
      <c r="BX74" s="1305"/>
      <c r="BY74" s="206"/>
      <c r="BZ74" s="1305"/>
      <c r="CA74" s="1305"/>
      <c r="CB74" s="206"/>
      <c r="CC74" s="1305"/>
      <c r="CD74" s="1305"/>
      <c r="CE74" s="206"/>
      <c r="CF74" s="1305"/>
      <c r="CG74" s="206"/>
      <c r="CH74" s="1305"/>
      <c r="CI74" s="206"/>
      <c r="CJ74" s="337"/>
      <c r="CK74" s="208"/>
      <c r="CL74" s="1267"/>
      <c r="CM74" s="1310"/>
      <c r="CN74" s="1276"/>
      <c r="CO74" s="1261"/>
      <c r="CP74" s="1296"/>
      <c r="CQ74" s="1276"/>
      <c r="CR74" s="1261"/>
      <c r="CS74" s="1261"/>
      <c r="CT74" s="212"/>
      <c r="CU74" s="793"/>
      <c r="CV74" s="794"/>
      <c r="CW74" s="212"/>
    </row>
    <row r="75" spans="1:101" ht="15.9" customHeight="1" x14ac:dyDescent="0.3">
      <c r="A75" s="156"/>
      <c r="B75" s="1237"/>
      <c r="C75" s="1237"/>
      <c r="D75" s="1311"/>
      <c r="E75" s="1237"/>
      <c r="F75" s="1237"/>
      <c r="G75" s="1237"/>
      <c r="H75" s="1237"/>
      <c r="I75" s="1237"/>
      <c r="J75" s="1237"/>
      <c r="K75" s="783"/>
      <c r="L75" s="783"/>
      <c r="M75" s="783"/>
      <c r="N75" s="1237"/>
      <c r="O75" s="1237"/>
      <c r="P75" s="1313"/>
      <c r="Q75" s="1315"/>
      <c r="R75" s="293"/>
      <c r="S75" s="378" t="s">
        <v>33</v>
      </c>
      <c r="T75" s="378" t="s">
        <v>33</v>
      </c>
      <c r="U75" s="378" t="s">
        <v>33</v>
      </c>
      <c r="V75" s="378" t="s">
        <v>33</v>
      </c>
      <c r="W75" s="378" t="s">
        <v>33</v>
      </c>
      <c r="X75" s="378" t="s">
        <v>33</v>
      </c>
      <c r="Y75" s="378" t="s">
        <v>33</v>
      </c>
      <c r="Z75" s="346"/>
      <c r="AA75" s="347"/>
      <c r="AB75" s="347"/>
      <c r="AC75" s="346" t="s">
        <v>186</v>
      </c>
      <c r="AD75" s="295" t="s">
        <v>319</v>
      </c>
      <c r="AE75" s="614" t="s">
        <v>51</v>
      </c>
      <c r="AF75" s="614"/>
      <c r="AG75" s="974">
        <v>7.7000000000000002E-3</v>
      </c>
      <c r="AH75" s="351">
        <v>7.7000000000000002E-3</v>
      </c>
      <c r="AI75" s="626">
        <v>7.7000000000000002E-3</v>
      </c>
      <c r="AJ75" s="351">
        <v>7.7000000000000002E-3</v>
      </c>
      <c r="AK75" s="351">
        <f t="shared" si="3"/>
        <v>7.7000000000000002E-3</v>
      </c>
      <c r="AL75" s="351">
        <f t="shared" si="3"/>
        <v>7.7000000000000002E-3</v>
      </c>
      <c r="AM75" s="351">
        <v>7.7000000000000002E-3</v>
      </c>
      <c r="AN75" s="351" t="e">
        <f>#REF!</f>
        <v>#REF!</v>
      </c>
      <c r="AO75" s="351">
        <v>7.7000000000000002E-3</v>
      </c>
      <c r="AP75" s="351">
        <f t="shared" si="4"/>
        <v>7.7000000000000002E-3</v>
      </c>
      <c r="AQ75" s="350"/>
      <c r="AR75" s="350"/>
      <c r="AS75" s="350"/>
      <c r="AT75" s="372">
        <v>7.7000000000000002E-3</v>
      </c>
      <c r="AU75" s="372">
        <v>7.7000000000000002E-3</v>
      </c>
      <c r="AV75" s="372">
        <v>7.7000000000000002E-3</v>
      </c>
      <c r="AW75" s="372">
        <v>7.7000000000000002E-3</v>
      </c>
      <c r="AX75" s="372">
        <v>7.7000000000000002E-3</v>
      </c>
      <c r="AY75" s="372">
        <v>7.7000000000000002E-3</v>
      </c>
      <c r="AZ75" s="605">
        <v>50</v>
      </c>
      <c r="BA75" s="350">
        <v>0.01</v>
      </c>
      <c r="BB75" s="350">
        <v>0.01</v>
      </c>
      <c r="BC75" s="351">
        <v>0.01</v>
      </c>
      <c r="BD75" s="351">
        <v>0.01</v>
      </c>
      <c r="BE75" s="351">
        <v>0.01</v>
      </c>
      <c r="BF75" s="350">
        <v>0.01</v>
      </c>
      <c r="BG75" s="368"/>
      <c r="BH75" s="369"/>
      <c r="BI75" s="369"/>
      <c r="BJ75" s="369"/>
      <c r="BK75" s="370"/>
      <c r="BL75" s="822"/>
      <c r="BM75" s="335"/>
      <c r="BN75" s="1305"/>
      <c r="BO75" s="1305"/>
      <c r="BP75" s="336"/>
      <c r="BQ75" s="1305"/>
      <c r="BR75" s="1305"/>
      <c r="BS75" s="337"/>
      <c r="BT75" s="760"/>
      <c r="BU75" s="1305"/>
      <c r="BV75" s="1305"/>
      <c r="BW75" s="1305"/>
      <c r="BX75" s="1305"/>
      <c r="BY75" s="206"/>
      <c r="BZ75" s="1305"/>
      <c r="CA75" s="1305"/>
      <c r="CB75" s="206"/>
      <c r="CC75" s="1305"/>
      <c r="CD75" s="1305"/>
      <c r="CE75" s="206"/>
      <c r="CF75" s="1305"/>
      <c r="CG75" s="206"/>
      <c r="CH75" s="1305"/>
      <c r="CI75" s="206"/>
      <c r="CJ75" s="337"/>
      <c r="CK75" s="208"/>
      <c r="CL75" s="1267"/>
      <c r="CM75" s="1310"/>
      <c r="CN75" s="1276"/>
      <c r="CO75" s="1261"/>
      <c r="CP75" s="1296"/>
      <c r="CQ75" s="1276"/>
      <c r="CR75" s="1261"/>
      <c r="CS75" s="1261"/>
      <c r="CT75" s="212"/>
      <c r="CU75" s="793"/>
      <c r="CV75" s="794"/>
      <c r="CW75" s="212"/>
    </row>
    <row r="76" spans="1:101" ht="15.9" customHeight="1" x14ac:dyDescent="0.3">
      <c r="A76" s="156"/>
      <c r="B76" s="783"/>
      <c r="C76" s="783"/>
      <c r="D76" s="785"/>
      <c r="E76" s="783"/>
      <c r="F76" s="783"/>
      <c r="G76" s="783"/>
      <c r="H76" s="783"/>
      <c r="I76" s="783"/>
      <c r="J76" s="783"/>
      <c r="K76" s="783"/>
      <c r="L76" s="783"/>
      <c r="M76" s="783"/>
      <c r="N76" s="783"/>
      <c r="O76" s="783"/>
      <c r="P76" s="774"/>
      <c r="Q76" s="791"/>
      <c r="R76" s="338"/>
      <c r="S76" s="378"/>
      <c r="T76" s="378"/>
      <c r="U76" s="378"/>
      <c r="V76" s="378"/>
      <c r="W76" s="378"/>
      <c r="X76" s="378"/>
      <c r="Y76" s="378"/>
      <c r="Z76" s="787"/>
      <c r="AA76" s="341"/>
      <c r="AB76" s="341"/>
      <c r="AC76" s="787"/>
      <c r="AD76" s="674"/>
      <c r="AE76" s="675" t="s">
        <v>492</v>
      </c>
      <c r="AF76" s="675"/>
      <c r="AG76" s="980"/>
      <c r="AH76" s="866"/>
      <c r="AI76" s="865"/>
      <c r="AJ76" s="866"/>
      <c r="AK76" s="866"/>
      <c r="AL76" s="866"/>
      <c r="AM76" s="866"/>
      <c r="AN76" s="866"/>
      <c r="AO76" s="866"/>
      <c r="AP76" s="866"/>
      <c r="AQ76" s="867"/>
      <c r="AR76" s="867"/>
      <c r="AS76" s="867"/>
      <c r="AT76" s="868">
        <v>3</v>
      </c>
      <c r="AU76" s="868">
        <v>3</v>
      </c>
      <c r="AV76" s="868">
        <v>3</v>
      </c>
      <c r="AW76" s="868">
        <v>3</v>
      </c>
      <c r="AX76" s="868"/>
      <c r="AY76" s="868">
        <v>3</v>
      </c>
      <c r="AZ76" s="605"/>
      <c r="BA76" s="867"/>
      <c r="BB76" s="867"/>
      <c r="BC76" s="866"/>
      <c r="BD76" s="866"/>
      <c r="BE76" s="866"/>
      <c r="BF76" s="867"/>
      <c r="BG76" s="869"/>
      <c r="BH76" s="870"/>
      <c r="BI76" s="870"/>
      <c r="BJ76" s="870"/>
      <c r="BK76" s="871"/>
      <c r="BL76" s="822"/>
      <c r="BM76" s="335"/>
      <c r="BN76" s="779"/>
      <c r="BO76" s="779"/>
      <c r="BP76" s="336"/>
      <c r="BQ76" s="779"/>
      <c r="BR76" s="779"/>
      <c r="BS76" s="337"/>
      <c r="BT76" s="760"/>
      <c r="BU76" s="779"/>
      <c r="BV76" s="779"/>
      <c r="BW76" s="779"/>
      <c r="BX76" s="779"/>
      <c r="BY76" s="206"/>
      <c r="BZ76" s="779"/>
      <c r="CA76" s="779"/>
      <c r="CB76" s="206"/>
      <c r="CC76" s="779"/>
      <c r="CD76" s="779"/>
      <c r="CE76" s="206"/>
      <c r="CF76" s="779"/>
      <c r="CG76" s="206"/>
      <c r="CH76" s="779"/>
      <c r="CI76" s="206"/>
      <c r="CJ76" s="337"/>
      <c r="CK76" s="208"/>
      <c r="CL76" s="789"/>
      <c r="CM76" s="790"/>
      <c r="CN76" s="758"/>
      <c r="CO76" s="749"/>
      <c r="CP76" s="759"/>
      <c r="CQ76" s="758"/>
      <c r="CR76" s="749"/>
      <c r="CS76" s="749"/>
      <c r="CT76" s="212"/>
      <c r="CU76" s="793"/>
      <c r="CV76" s="794"/>
      <c r="CW76" s="212"/>
    </row>
    <row r="77" spans="1:101" ht="15.9" customHeight="1" x14ac:dyDescent="0.3">
      <c r="A77" s="156"/>
      <c r="B77" s="783"/>
      <c r="C77" s="783"/>
      <c r="D77" s="785"/>
      <c r="E77" s="783"/>
      <c r="F77" s="783"/>
      <c r="G77" s="783"/>
      <c r="H77" s="783"/>
      <c r="I77" s="783"/>
      <c r="J77" s="783"/>
      <c r="K77" s="783"/>
      <c r="L77" s="783"/>
      <c r="M77" s="783"/>
      <c r="N77" s="783"/>
      <c r="O77" s="783"/>
      <c r="P77" s="774"/>
      <c r="Q77" s="791"/>
      <c r="R77" s="338"/>
      <c r="S77" s="378"/>
      <c r="T77" s="378"/>
      <c r="U77" s="378"/>
      <c r="V77" s="378"/>
      <c r="W77" s="378"/>
      <c r="X77" s="378"/>
      <c r="Y77" s="378"/>
      <c r="Z77" s="787"/>
      <c r="AA77" s="341"/>
      <c r="AB77" s="341"/>
      <c r="AC77" s="787"/>
      <c r="AD77" s="674"/>
      <c r="AE77" s="675" t="s">
        <v>493</v>
      </c>
      <c r="AF77" s="675"/>
      <c r="AG77" s="980"/>
      <c r="AH77" s="866"/>
      <c r="AI77" s="865"/>
      <c r="AJ77" s="866"/>
      <c r="AK77" s="866"/>
      <c r="AL77" s="866"/>
      <c r="AM77" s="866"/>
      <c r="AN77" s="866"/>
      <c r="AO77" s="866"/>
      <c r="AP77" s="866"/>
      <c r="AQ77" s="867"/>
      <c r="AR77" s="867"/>
      <c r="AS77" s="867"/>
      <c r="AT77" s="868">
        <v>3</v>
      </c>
      <c r="AU77" s="868">
        <v>3</v>
      </c>
      <c r="AV77" s="868">
        <v>3</v>
      </c>
      <c r="AW77" s="868">
        <v>3</v>
      </c>
      <c r="AX77" s="868"/>
      <c r="AY77" s="868">
        <v>3</v>
      </c>
      <c r="AZ77" s="605"/>
      <c r="BA77" s="867"/>
      <c r="BB77" s="867"/>
      <c r="BC77" s="866"/>
      <c r="BD77" s="866"/>
      <c r="BE77" s="866"/>
      <c r="BF77" s="867"/>
      <c r="BG77" s="869"/>
      <c r="BH77" s="870"/>
      <c r="BI77" s="870"/>
      <c r="BJ77" s="870"/>
      <c r="BK77" s="871"/>
      <c r="BL77" s="822"/>
      <c r="BM77" s="335"/>
      <c r="BN77" s="779"/>
      <c r="BO77" s="779"/>
      <c r="BP77" s="336"/>
      <c r="BQ77" s="779"/>
      <c r="BR77" s="779"/>
      <c r="BS77" s="337"/>
      <c r="BT77" s="760"/>
      <c r="BU77" s="779"/>
      <c r="BV77" s="779"/>
      <c r="BW77" s="779"/>
      <c r="BX77" s="779"/>
      <c r="BY77" s="206"/>
      <c r="BZ77" s="779"/>
      <c r="CA77" s="779"/>
      <c r="CB77" s="206"/>
      <c r="CC77" s="779"/>
      <c r="CD77" s="779"/>
      <c r="CE77" s="206"/>
      <c r="CF77" s="779"/>
      <c r="CG77" s="206"/>
      <c r="CH77" s="779"/>
      <c r="CI77" s="206"/>
      <c r="CJ77" s="337"/>
      <c r="CK77" s="208"/>
      <c r="CL77" s="789"/>
      <c r="CM77" s="790"/>
      <c r="CN77" s="758"/>
      <c r="CO77" s="749"/>
      <c r="CP77" s="759"/>
      <c r="CQ77" s="758"/>
      <c r="CR77" s="749"/>
      <c r="CS77" s="749"/>
      <c r="CT77" s="212"/>
      <c r="CU77" s="793"/>
      <c r="CV77" s="794"/>
      <c r="CW77" s="212"/>
    </row>
    <row r="78" spans="1:101" ht="15.9" customHeight="1" x14ac:dyDescent="0.3">
      <c r="A78" s="156"/>
      <c r="B78" s="783"/>
      <c r="C78" s="783"/>
      <c r="D78" s="785"/>
      <c r="E78" s="783"/>
      <c r="F78" s="783"/>
      <c r="G78" s="783"/>
      <c r="H78" s="783"/>
      <c r="I78" s="783"/>
      <c r="J78" s="783"/>
      <c r="K78" s="783"/>
      <c r="L78" s="783"/>
      <c r="M78" s="783"/>
      <c r="N78" s="783"/>
      <c r="O78" s="783"/>
      <c r="P78" s="774"/>
      <c r="Q78" s="791"/>
      <c r="R78" s="338"/>
      <c r="S78" s="378"/>
      <c r="T78" s="378"/>
      <c r="U78" s="378"/>
      <c r="V78" s="378"/>
      <c r="W78" s="378"/>
      <c r="X78" s="378"/>
      <c r="Y78" s="378"/>
      <c r="Z78" s="787"/>
      <c r="AA78" s="341"/>
      <c r="AB78" s="341"/>
      <c r="AC78" s="787"/>
      <c r="AD78" s="674"/>
      <c r="AE78" s="675" t="s">
        <v>494</v>
      </c>
      <c r="AF78" s="675"/>
      <c r="AG78" s="980"/>
      <c r="AH78" s="866"/>
      <c r="AI78" s="865"/>
      <c r="AJ78" s="866"/>
      <c r="AK78" s="866"/>
      <c r="AL78" s="866"/>
      <c r="AM78" s="866"/>
      <c r="AN78" s="866"/>
      <c r="AO78" s="866"/>
      <c r="AP78" s="866"/>
      <c r="AQ78" s="867"/>
      <c r="AR78" s="867"/>
      <c r="AS78" s="867"/>
      <c r="AT78" s="868">
        <v>3</v>
      </c>
      <c r="AU78" s="868">
        <v>3</v>
      </c>
      <c r="AV78" s="868">
        <v>3</v>
      </c>
      <c r="AW78" s="868">
        <v>3</v>
      </c>
      <c r="AX78" s="868"/>
      <c r="AY78" s="868">
        <v>3</v>
      </c>
      <c r="AZ78" s="605"/>
      <c r="BA78" s="867"/>
      <c r="BB78" s="867"/>
      <c r="BC78" s="866"/>
      <c r="BD78" s="866"/>
      <c r="BE78" s="866"/>
      <c r="BF78" s="867"/>
      <c r="BG78" s="869"/>
      <c r="BH78" s="870"/>
      <c r="BI78" s="870"/>
      <c r="BJ78" s="870"/>
      <c r="BK78" s="871"/>
      <c r="BL78" s="822"/>
      <c r="BM78" s="335"/>
      <c r="BN78" s="779"/>
      <c r="BO78" s="779"/>
      <c r="BP78" s="336"/>
      <c r="BQ78" s="779"/>
      <c r="BR78" s="779"/>
      <c r="BS78" s="337"/>
      <c r="BT78" s="760"/>
      <c r="BU78" s="779"/>
      <c r="BV78" s="779"/>
      <c r="BW78" s="779"/>
      <c r="BX78" s="779"/>
      <c r="BY78" s="206"/>
      <c r="BZ78" s="779"/>
      <c r="CA78" s="779"/>
      <c r="CB78" s="206"/>
      <c r="CC78" s="779"/>
      <c r="CD78" s="779"/>
      <c r="CE78" s="206"/>
      <c r="CF78" s="779"/>
      <c r="CG78" s="206"/>
      <c r="CH78" s="779"/>
      <c r="CI78" s="206"/>
      <c r="CJ78" s="337"/>
      <c r="CK78" s="208"/>
      <c r="CL78" s="789"/>
      <c r="CM78" s="790"/>
      <c r="CN78" s="758"/>
      <c r="CO78" s="749"/>
      <c r="CP78" s="759"/>
      <c r="CQ78" s="758"/>
      <c r="CR78" s="749"/>
      <c r="CS78" s="749"/>
      <c r="CT78" s="212"/>
      <c r="CU78" s="793"/>
      <c r="CV78" s="794"/>
      <c r="CW78" s="212"/>
    </row>
    <row r="79" spans="1:101" ht="15.9" customHeight="1" x14ac:dyDescent="0.3">
      <c r="A79" s="156"/>
      <c r="B79" s="1236" t="s">
        <v>67</v>
      </c>
      <c r="C79" s="1236"/>
      <c r="D79" s="1320" t="s">
        <v>320</v>
      </c>
      <c r="E79" s="1236" t="s">
        <v>320</v>
      </c>
      <c r="F79" s="1236" t="s">
        <v>320</v>
      </c>
      <c r="G79" s="1236" t="s">
        <v>282</v>
      </c>
      <c r="H79" s="1236"/>
      <c r="I79" s="1236" t="s">
        <v>98</v>
      </c>
      <c r="J79" s="1236" t="s">
        <v>19</v>
      </c>
      <c r="K79" s="782"/>
      <c r="L79" s="782"/>
      <c r="M79" s="782"/>
      <c r="N79" s="1236"/>
      <c r="O79" s="1236" t="s">
        <v>261</v>
      </c>
      <c r="P79" s="1312"/>
      <c r="Q79" s="1302"/>
      <c r="R79" s="283"/>
      <c r="S79" s="379" t="s">
        <v>33</v>
      </c>
      <c r="T79" s="333"/>
      <c r="U79" s="379" t="s">
        <v>33</v>
      </c>
      <c r="V79" s="333"/>
      <c r="W79" s="333"/>
      <c r="X79" s="379" t="s">
        <v>33</v>
      </c>
      <c r="Y79" s="333"/>
      <c r="Z79" s="285"/>
      <c r="AA79" s="285"/>
      <c r="AB79" s="285"/>
      <c r="AC79" s="285" t="s">
        <v>186</v>
      </c>
      <c r="AD79" s="334" t="s">
        <v>293</v>
      </c>
      <c r="AE79" s="617" t="s">
        <v>81</v>
      </c>
      <c r="AF79" s="617" t="s">
        <v>495</v>
      </c>
      <c r="AG79" s="981">
        <v>1.5</v>
      </c>
      <c r="AH79" s="382">
        <v>1.5</v>
      </c>
      <c r="AI79" s="631">
        <v>1.5</v>
      </c>
      <c r="AJ79" s="382">
        <v>1.5</v>
      </c>
      <c r="AK79" s="382">
        <f>AI79</f>
        <v>1.5</v>
      </c>
      <c r="AL79" s="382">
        <f>AJ79</f>
        <v>1.5</v>
      </c>
      <c r="AM79" s="382">
        <v>1.5</v>
      </c>
      <c r="AN79" s="382" t="e">
        <f>#REF!</f>
        <v>#REF!</v>
      </c>
      <c r="AO79" s="382">
        <v>1.5</v>
      </c>
      <c r="AP79" s="382">
        <f>AL79</f>
        <v>1.5</v>
      </c>
      <c r="AQ79" s="380"/>
      <c r="AR79" s="380"/>
      <c r="AS79" s="380"/>
      <c r="AT79" s="380">
        <v>1.5</v>
      </c>
      <c r="AU79" s="381">
        <v>1.5</v>
      </c>
      <c r="AV79" s="381">
        <v>1.5</v>
      </c>
      <c r="AW79" s="381">
        <v>1.5</v>
      </c>
      <c r="AX79" s="381">
        <v>1.5</v>
      </c>
      <c r="AY79" s="382">
        <v>1.5</v>
      </c>
      <c r="AZ79" s="605">
        <v>51</v>
      </c>
      <c r="BA79" s="380">
        <v>0</v>
      </c>
      <c r="BB79" s="380">
        <v>0</v>
      </c>
      <c r="BC79" s="382">
        <v>0</v>
      </c>
      <c r="BD79" s="382">
        <v>0</v>
      </c>
      <c r="BE79" s="382">
        <v>0</v>
      </c>
      <c r="BF79" s="380">
        <v>0</v>
      </c>
      <c r="BG79" s="383"/>
      <c r="BH79" s="384"/>
      <c r="BI79" s="384"/>
      <c r="BJ79" s="384"/>
      <c r="BK79" s="385"/>
      <c r="BL79" s="822"/>
      <c r="BM79" s="335"/>
      <c r="BN79" s="1304" t="s">
        <v>67</v>
      </c>
      <c r="BO79" s="1304" t="s">
        <v>67</v>
      </c>
      <c r="BP79" s="336"/>
      <c r="BQ79" s="1304" t="s">
        <v>67</v>
      </c>
      <c r="BR79" s="1304" t="s">
        <v>67</v>
      </c>
      <c r="BS79" s="337"/>
      <c r="BT79" s="760"/>
      <c r="BU79" s="1304" t="s">
        <v>67</v>
      </c>
      <c r="BV79" s="780"/>
      <c r="BW79" s="1304" t="s">
        <v>67</v>
      </c>
      <c r="BX79" s="1304" t="s">
        <v>67</v>
      </c>
      <c r="BY79" s="206"/>
      <c r="BZ79" s="1304" t="s">
        <v>67</v>
      </c>
      <c r="CA79" s="1304" t="s">
        <v>67</v>
      </c>
      <c r="CB79" s="206"/>
      <c r="CC79" s="1304" t="s">
        <v>67</v>
      </c>
      <c r="CD79" s="1304" t="s">
        <v>67</v>
      </c>
      <c r="CE79" s="206"/>
      <c r="CF79" s="1304" t="s">
        <v>67</v>
      </c>
      <c r="CG79" s="206"/>
      <c r="CH79" s="1304" t="s">
        <v>67</v>
      </c>
      <c r="CI79" s="206"/>
      <c r="CJ79" s="337"/>
      <c r="CK79" s="208"/>
      <c r="CL79" s="801"/>
      <c r="CM79" s="386"/>
      <c r="CN79" s="797"/>
      <c r="CO79" s="798"/>
      <c r="CP79" s="387"/>
      <c r="CQ79" s="797"/>
      <c r="CR79" s="798"/>
      <c r="CS79" s="798"/>
      <c r="CT79" s="212"/>
      <c r="CU79" s="793"/>
      <c r="CV79" s="794"/>
      <c r="CW79" s="212"/>
    </row>
    <row r="80" spans="1:101" ht="15.9" customHeight="1" x14ac:dyDescent="0.3">
      <c r="A80" s="156"/>
      <c r="B80" s="1237"/>
      <c r="C80" s="1237"/>
      <c r="D80" s="1321"/>
      <c r="E80" s="1237"/>
      <c r="F80" s="1237"/>
      <c r="G80" s="1237"/>
      <c r="H80" s="1237"/>
      <c r="I80" s="1237"/>
      <c r="J80" s="1237"/>
      <c r="K80" s="783"/>
      <c r="L80" s="783"/>
      <c r="M80" s="783"/>
      <c r="N80" s="1237"/>
      <c r="O80" s="1237"/>
      <c r="P80" s="1313"/>
      <c r="Q80" s="1325"/>
      <c r="R80" s="338"/>
      <c r="S80" s="872"/>
      <c r="T80" s="340"/>
      <c r="U80" s="872"/>
      <c r="V80" s="340"/>
      <c r="W80" s="340"/>
      <c r="X80" s="872"/>
      <c r="Y80" s="340"/>
      <c r="Z80" s="341"/>
      <c r="AA80" s="341"/>
      <c r="AB80" s="341"/>
      <c r="AC80" s="341" t="s">
        <v>186</v>
      </c>
      <c r="AD80" s="666" t="s">
        <v>496</v>
      </c>
      <c r="AE80" s="667" t="s">
        <v>497</v>
      </c>
      <c r="AF80" s="667"/>
      <c r="AG80" s="873">
        <v>0.55000000000000004</v>
      </c>
      <c r="AH80" s="873">
        <v>0.55000000000000004</v>
      </c>
      <c r="AI80" s="873">
        <v>0.55000000000000004</v>
      </c>
      <c r="AJ80" s="873">
        <v>0.55000000000000004</v>
      </c>
      <c r="AK80" s="873">
        <v>0.55000000000000004</v>
      </c>
      <c r="AL80" s="873">
        <v>0.55000000000000004</v>
      </c>
      <c r="AM80" s="873">
        <v>0.55000000000000004</v>
      </c>
      <c r="AN80" s="873">
        <v>0.55000000000000004</v>
      </c>
      <c r="AO80" s="873">
        <v>0.55000000000000004</v>
      </c>
      <c r="AP80" s="873">
        <v>0.55000000000000004</v>
      </c>
      <c r="AQ80" s="676"/>
      <c r="AR80" s="676"/>
      <c r="AS80" s="676"/>
      <c r="AT80" s="676">
        <v>0.55000000000000004</v>
      </c>
      <c r="AU80" s="676">
        <v>0.55000000000000004</v>
      </c>
      <c r="AV80" s="676">
        <v>0.55000000000000004</v>
      </c>
      <c r="AW80" s="676">
        <v>0.55000000000000004</v>
      </c>
      <c r="AX80" s="676">
        <v>0.55000000000000004</v>
      </c>
      <c r="AY80" s="676">
        <v>0.55000000000000004</v>
      </c>
      <c r="AZ80" s="605"/>
      <c r="BA80" s="676"/>
      <c r="BB80" s="676"/>
      <c r="BC80" s="677"/>
      <c r="BD80" s="677"/>
      <c r="BE80" s="677"/>
      <c r="BF80" s="676"/>
      <c r="BG80" s="868"/>
      <c r="BH80" s="874"/>
      <c r="BI80" s="874"/>
      <c r="BJ80" s="874"/>
      <c r="BK80" s="875"/>
      <c r="BL80" s="822"/>
      <c r="BM80" s="335"/>
      <c r="BN80" s="1305"/>
      <c r="BO80" s="1305"/>
      <c r="BP80" s="336"/>
      <c r="BQ80" s="1305"/>
      <c r="BR80" s="1305"/>
      <c r="BS80" s="337"/>
      <c r="BT80" s="760"/>
      <c r="BU80" s="1305"/>
      <c r="BV80" s="780"/>
      <c r="BW80" s="1305"/>
      <c r="BX80" s="1305"/>
      <c r="BY80" s="206"/>
      <c r="BZ80" s="1305"/>
      <c r="CA80" s="1305"/>
      <c r="CB80" s="206"/>
      <c r="CC80" s="1305"/>
      <c r="CD80" s="1305"/>
      <c r="CE80" s="206"/>
      <c r="CF80" s="1305"/>
      <c r="CG80" s="206"/>
      <c r="CH80" s="1305"/>
      <c r="CI80" s="206"/>
      <c r="CJ80" s="337"/>
      <c r="CK80" s="208"/>
      <c r="CL80" s="801"/>
      <c r="CM80" s="386"/>
      <c r="CN80" s="797"/>
      <c r="CO80" s="798"/>
      <c r="CP80" s="387"/>
      <c r="CQ80" s="797"/>
      <c r="CR80" s="798"/>
      <c r="CS80" s="798"/>
      <c r="CT80" s="212"/>
      <c r="CU80" s="793"/>
      <c r="CV80" s="794"/>
      <c r="CW80" s="212"/>
    </row>
    <row r="81" spans="1:101" ht="15.9" customHeight="1" x14ac:dyDescent="0.3">
      <c r="A81" s="156"/>
      <c r="B81" s="1237"/>
      <c r="C81" s="1237"/>
      <c r="D81" s="1321"/>
      <c r="E81" s="1237"/>
      <c r="F81" s="1237"/>
      <c r="G81" s="1237"/>
      <c r="H81" s="1237"/>
      <c r="I81" s="1237"/>
      <c r="J81" s="1237"/>
      <c r="K81" s="783"/>
      <c r="L81" s="783"/>
      <c r="M81" s="783"/>
      <c r="N81" s="1237"/>
      <c r="O81" s="1237"/>
      <c r="P81" s="1313"/>
      <c r="Q81" s="1325"/>
      <c r="R81" s="293"/>
      <c r="S81" s="388" t="s">
        <v>498</v>
      </c>
      <c r="T81" s="302"/>
      <c r="U81" s="388" t="s">
        <v>498</v>
      </c>
      <c r="V81" s="302"/>
      <c r="W81" s="302"/>
      <c r="X81" s="388" t="s">
        <v>312</v>
      </c>
      <c r="Y81" s="302"/>
      <c r="Z81" s="347"/>
      <c r="AA81" s="347"/>
      <c r="AB81" s="347"/>
      <c r="AC81" s="347" t="s">
        <v>186</v>
      </c>
      <c r="AD81" s="389" t="s">
        <v>499</v>
      </c>
      <c r="AE81" s="618" t="s">
        <v>500</v>
      </c>
      <c r="AF81" s="618" t="s">
        <v>501</v>
      </c>
      <c r="AG81" s="307">
        <v>0.9</v>
      </c>
      <c r="AH81" s="307">
        <v>0.9</v>
      </c>
      <c r="AI81" s="307">
        <v>0.9</v>
      </c>
      <c r="AJ81" s="307">
        <v>0.9</v>
      </c>
      <c r="AK81" s="307">
        <v>0.9</v>
      </c>
      <c r="AL81" s="307">
        <v>0.9</v>
      </c>
      <c r="AM81" s="307">
        <v>0.9</v>
      </c>
      <c r="AN81" s="307">
        <v>0.9</v>
      </c>
      <c r="AO81" s="307">
        <v>0.9</v>
      </c>
      <c r="AP81" s="307">
        <v>0.9</v>
      </c>
      <c r="AQ81" s="307">
        <v>0.9</v>
      </c>
      <c r="AR81" s="307">
        <v>0.9</v>
      </c>
      <c r="AS81" s="307">
        <v>0.9</v>
      </c>
      <c r="AT81" s="307">
        <v>0.9</v>
      </c>
      <c r="AU81" s="307">
        <v>0.9</v>
      </c>
      <c r="AV81" s="307">
        <v>0.9</v>
      </c>
      <c r="AW81" s="307">
        <v>0.9</v>
      </c>
      <c r="AX81" s="307">
        <v>0.9</v>
      </c>
      <c r="AY81" s="307">
        <v>0.9</v>
      </c>
      <c r="AZ81" s="605">
        <v>52</v>
      </c>
      <c r="BA81" s="307">
        <v>0</v>
      </c>
      <c r="BB81" s="307">
        <v>0</v>
      </c>
      <c r="BC81" s="308">
        <v>0</v>
      </c>
      <c r="BD81" s="308">
        <v>0</v>
      </c>
      <c r="BE81" s="308">
        <v>0</v>
      </c>
      <c r="BF81" s="307">
        <v>0</v>
      </c>
      <c r="BG81" s="372"/>
      <c r="BH81" s="373"/>
      <c r="BI81" s="373"/>
      <c r="BJ81" s="373"/>
      <c r="BK81" s="374"/>
      <c r="BL81" s="822"/>
      <c r="BM81" s="335"/>
      <c r="BN81" s="1305"/>
      <c r="BO81" s="1305"/>
      <c r="BP81" s="336"/>
      <c r="BQ81" s="1305"/>
      <c r="BR81" s="1305"/>
      <c r="BS81" s="337"/>
      <c r="BT81" s="760"/>
      <c r="BU81" s="1305"/>
      <c r="BV81" s="780"/>
      <c r="BW81" s="1305"/>
      <c r="BX81" s="1305"/>
      <c r="BY81" s="206"/>
      <c r="BZ81" s="1305"/>
      <c r="CA81" s="1305"/>
      <c r="CB81" s="206"/>
      <c r="CC81" s="1305"/>
      <c r="CD81" s="1305"/>
      <c r="CE81" s="206"/>
      <c r="CF81" s="1305"/>
      <c r="CG81" s="206"/>
      <c r="CH81" s="1305"/>
      <c r="CI81" s="206"/>
      <c r="CJ81" s="337"/>
      <c r="CK81" s="208"/>
      <c r="CL81" s="801"/>
      <c r="CM81" s="386"/>
      <c r="CN81" s="797"/>
      <c r="CO81" s="798"/>
      <c r="CP81" s="387"/>
      <c r="CQ81" s="797"/>
      <c r="CR81" s="798"/>
      <c r="CS81" s="798"/>
      <c r="CT81" s="212"/>
      <c r="CU81" s="793"/>
      <c r="CV81" s="794"/>
      <c r="CW81" s="212"/>
    </row>
    <row r="82" spans="1:101" ht="15.9" customHeight="1" x14ac:dyDescent="0.3">
      <c r="A82" s="156"/>
      <c r="B82" s="1237"/>
      <c r="C82" s="1237"/>
      <c r="D82" s="1321"/>
      <c r="E82" s="1237"/>
      <c r="F82" s="1237"/>
      <c r="G82" s="1237"/>
      <c r="H82" s="1237"/>
      <c r="I82" s="1237"/>
      <c r="J82" s="1237"/>
      <c r="K82" s="783"/>
      <c r="L82" s="783"/>
      <c r="M82" s="783"/>
      <c r="N82" s="1237"/>
      <c r="O82" s="1237"/>
      <c r="P82" s="1313"/>
      <c r="Q82" s="1325"/>
      <c r="R82" s="293"/>
      <c r="S82" s="388"/>
      <c r="T82" s="302"/>
      <c r="U82" s="388"/>
      <c r="V82" s="302"/>
      <c r="W82" s="302"/>
      <c r="X82" s="388"/>
      <c r="Y82" s="302"/>
      <c r="Z82" s="347"/>
      <c r="AA82" s="347"/>
      <c r="AB82" s="347"/>
      <c r="AC82" s="347" t="s">
        <v>186</v>
      </c>
      <c r="AD82" s="389" t="s">
        <v>502</v>
      </c>
      <c r="AE82" s="618" t="s">
        <v>503</v>
      </c>
      <c r="AF82" s="618" t="s">
        <v>504</v>
      </c>
      <c r="AG82" s="632">
        <v>0.5</v>
      </c>
      <c r="AH82" s="632">
        <v>0.5</v>
      </c>
      <c r="AI82" s="632">
        <v>0.5</v>
      </c>
      <c r="AJ82" s="632">
        <v>0.5</v>
      </c>
      <c r="AK82" s="632">
        <v>0.5</v>
      </c>
      <c r="AL82" s="632">
        <v>0.5</v>
      </c>
      <c r="AM82" s="632">
        <v>0.5</v>
      </c>
      <c r="AN82" s="632">
        <v>0.5</v>
      </c>
      <c r="AO82" s="632">
        <v>0.5</v>
      </c>
      <c r="AP82" s="632">
        <v>0.5</v>
      </c>
      <c r="AQ82" s="632">
        <v>0.5</v>
      </c>
      <c r="AR82" s="632">
        <v>0.5</v>
      </c>
      <c r="AS82" s="632">
        <v>0.5</v>
      </c>
      <c r="AT82" s="307">
        <v>0.5</v>
      </c>
      <c r="AU82" s="307">
        <v>0.5</v>
      </c>
      <c r="AV82" s="307">
        <v>0.5</v>
      </c>
      <c r="AW82" s="307">
        <v>0.5</v>
      </c>
      <c r="AX82" s="307">
        <v>0.5</v>
      </c>
      <c r="AY82" s="307">
        <v>0.5</v>
      </c>
      <c r="AZ82" s="605"/>
      <c r="BA82" s="307"/>
      <c r="BB82" s="307"/>
      <c r="BC82" s="308"/>
      <c r="BD82" s="308"/>
      <c r="BE82" s="308"/>
      <c r="BF82" s="307"/>
      <c r="BG82" s="372"/>
      <c r="BH82" s="373"/>
      <c r="BI82" s="373"/>
      <c r="BJ82" s="373"/>
      <c r="BK82" s="374"/>
      <c r="BL82" s="822"/>
      <c r="BM82" s="335"/>
      <c r="BN82" s="1305"/>
      <c r="BO82" s="1305"/>
      <c r="BP82" s="336"/>
      <c r="BQ82" s="1305"/>
      <c r="BR82" s="1305"/>
      <c r="BS82" s="337"/>
      <c r="BT82" s="760"/>
      <c r="BU82" s="1305"/>
      <c r="BV82" s="780"/>
      <c r="BW82" s="1305"/>
      <c r="BX82" s="1305"/>
      <c r="BY82" s="206"/>
      <c r="BZ82" s="1305"/>
      <c r="CA82" s="1305"/>
      <c r="CB82" s="206"/>
      <c r="CC82" s="1305"/>
      <c r="CD82" s="1305"/>
      <c r="CE82" s="206"/>
      <c r="CF82" s="1305"/>
      <c r="CG82" s="206"/>
      <c r="CH82" s="1305"/>
      <c r="CI82" s="206"/>
      <c r="CJ82" s="337"/>
      <c r="CK82" s="208"/>
      <c r="CL82" s="801"/>
      <c r="CM82" s="386"/>
      <c r="CN82" s="797"/>
      <c r="CO82" s="798"/>
      <c r="CP82" s="387"/>
      <c r="CQ82" s="797"/>
      <c r="CR82" s="798"/>
      <c r="CS82" s="798"/>
      <c r="CT82" s="212"/>
      <c r="CU82" s="793"/>
      <c r="CV82" s="794"/>
      <c r="CW82" s="212"/>
    </row>
    <row r="83" spans="1:101" ht="15.9" customHeight="1" x14ac:dyDescent="0.3">
      <c r="A83" s="156"/>
      <c r="B83" s="1237"/>
      <c r="C83" s="1237"/>
      <c r="D83" s="1321"/>
      <c r="E83" s="1237"/>
      <c r="F83" s="1237"/>
      <c r="G83" s="1237"/>
      <c r="H83" s="1237"/>
      <c r="I83" s="1237"/>
      <c r="J83" s="1237"/>
      <c r="K83" s="783"/>
      <c r="L83" s="783"/>
      <c r="M83" s="783"/>
      <c r="N83" s="1237"/>
      <c r="O83" s="1237"/>
      <c r="P83" s="1313"/>
      <c r="Q83" s="1325"/>
      <c r="R83" s="293"/>
      <c r="S83" s="388"/>
      <c r="T83" s="302"/>
      <c r="U83" s="388"/>
      <c r="V83" s="302"/>
      <c r="W83" s="302"/>
      <c r="X83" s="388"/>
      <c r="Y83" s="302"/>
      <c r="Z83" s="347"/>
      <c r="AA83" s="347"/>
      <c r="AB83" s="347"/>
      <c r="AC83" s="347" t="s">
        <v>186</v>
      </c>
      <c r="AD83" s="389"/>
      <c r="AE83" s="618" t="s">
        <v>505</v>
      </c>
      <c r="AF83" s="618"/>
      <c r="AG83" s="307">
        <v>2.1</v>
      </c>
      <c r="AH83" s="307">
        <v>2.1</v>
      </c>
      <c r="AI83" s="307">
        <v>2.1</v>
      </c>
      <c r="AJ83" s="307">
        <v>2.1</v>
      </c>
      <c r="AK83" s="307">
        <v>2.1</v>
      </c>
      <c r="AL83" s="307">
        <v>2.1</v>
      </c>
      <c r="AM83" s="307">
        <v>2.1</v>
      </c>
      <c r="AN83" s="307">
        <v>2.1</v>
      </c>
      <c r="AO83" s="307">
        <v>2.1</v>
      </c>
      <c r="AP83" s="307">
        <v>2.1</v>
      </c>
      <c r="AQ83" s="307">
        <v>2.1</v>
      </c>
      <c r="AR83" s="307">
        <v>2.1</v>
      </c>
      <c r="AS83" s="307">
        <v>2.1</v>
      </c>
      <c r="AT83" s="307">
        <v>2.1</v>
      </c>
      <c r="AU83" s="307">
        <v>2.1</v>
      </c>
      <c r="AV83" s="307">
        <v>2.1</v>
      </c>
      <c r="AW83" s="307">
        <v>2.1</v>
      </c>
      <c r="AX83" s="307">
        <v>2.1</v>
      </c>
      <c r="AY83" s="307">
        <v>2.1</v>
      </c>
      <c r="AZ83" s="605"/>
      <c r="BA83" s="307"/>
      <c r="BB83" s="307"/>
      <c r="BC83" s="308"/>
      <c r="BD83" s="308"/>
      <c r="BE83" s="308"/>
      <c r="BF83" s="307"/>
      <c r="BG83" s="372"/>
      <c r="BH83" s="373"/>
      <c r="BI83" s="373"/>
      <c r="BJ83" s="373"/>
      <c r="BK83" s="374"/>
      <c r="BL83" s="822"/>
      <c r="BM83" s="335"/>
      <c r="BN83" s="1305"/>
      <c r="BO83" s="1305"/>
      <c r="BP83" s="336"/>
      <c r="BQ83" s="1305"/>
      <c r="BR83" s="1305"/>
      <c r="BS83" s="337"/>
      <c r="BT83" s="760"/>
      <c r="BU83" s="1305"/>
      <c r="BV83" s="780"/>
      <c r="BW83" s="1305"/>
      <c r="BX83" s="1305"/>
      <c r="BY83" s="206"/>
      <c r="BZ83" s="1305"/>
      <c r="CA83" s="1305"/>
      <c r="CB83" s="206"/>
      <c r="CC83" s="1305"/>
      <c r="CD83" s="1305"/>
      <c r="CE83" s="206"/>
      <c r="CF83" s="1305"/>
      <c r="CG83" s="206"/>
      <c r="CH83" s="1305"/>
      <c r="CI83" s="206"/>
      <c r="CJ83" s="337"/>
      <c r="CK83" s="208"/>
      <c r="CL83" s="801"/>
      <c r="CM83" s="386"/>
      <c r="CN83" s="797"/>
      <c r="CO83" s="798"/>
      <c r="CP83" s="387"/>
      <c r="CQ83" s="797"/>
      <c r="CR83" s="798"/>
      <c r="CS83" s="798"/>
      <c r="CT83" s="212"/>
      <c r="CU83" s="793"/>
      <c r="CV83" s="794"/>
      <c r="CW83" s="212"/>
    </row>
    <row r="84" spans="1:101" ht="15.9" customHeight="1" x14ac:dyDescent="0.3">
      <c r="A84" s="156"/>
      <c r="B84" s="1237"/>
      <c r="C84" s="1237"/>
      <c r="D84" s="1321"/>
      <c r="E84" s="1237"/>
      <c r="F84" s="1237"/>
      <c r="G84" s="1237"/>
      <c r="H84" s="1237"/>
      <c r="I84" s="1237"/>
      <c r="J84" s="1237"/>
      <c r="K84" s="783"/>
      <c r="L84" s="783"/>
      <c r="M84" s="783"/>
      <c r="N84" s="1237"/>
      <c r="O84" s="1237"/>
      <c r="P84" s="1313"/>
      <c r="Q84" s="1325"/>
      <c r="R84" s="293"/>
      <c r="S84" s="388"/>
      <c r="T84" s="302"/>
      <c r="U84" s="388"/>
      <c r="V84" s="302"/>
      <c r="W84" s="302"/>
      <c r="X84" s="388"/>
      <c r="Y84" s="302"/>
      <c r="Z84" s="347"/>
      <c r="AA84" s="347"/>
      <c r="AB84" s="347"/>
      <c r="AC84" s="347" t="s">
        <v>186</v>
      </c>
      <c r="AD84" s="389"/>
      <c r="AE84" s="618" t="s">
        <v>506</v>
      </c>
      <c r="AF84" s="618"/>
      <c r="AG84" s="307">
        <v>3</v>
      </c>
      <c r="AH84" s="307">
        <v>3</v>
      </c>
      <c r="AI84" s="307">
        <v>3</v>
      </c>
      <c r="AJ84" s="307">
        <v>3</v>
      </c>
      <c r="AK84" s="307">
        <v>3</v>
      </c>
      <c r="AL84" s="307">
        <v>3</v>
      </c>
      <c r="AM84" s="307">
        <v>3</v>
      </c>
      <c r="AN84" s="307">
        <v>3</v>
      </c>
      <c r="AO84" s="307">
        <v>3</v>
      </c>
      <c r="AP84" s="307">
        <v>3</v>
      </c>
      <c r="AQ84" s="307">
        <v>3</v>
      </c>
      <c r="AR84" s="307">
        <v>3</v>
      </c>
      <c r="AS84" s="307">
        <v>3</v>
      </c>
      <c r="AT84" s="307">
        <v>3</v>
      </c>
      <c r="AU84" s="307">
        <v>3</v>
      </c>
      <c r="AV84" s="307">
        <v>3</v>
      </c>
      <c r="AW84" s="307">
        <v>3</v>
      </c>
      <c r="AX84" s="307">
        <v>3</v>
      </c>
      <c r="AY84" s="307">
        <v>3</v>
      </c>
      <c r="AZ84" s="605"/>
      <c r="BA84" s="307"/>
      <c r="BB84" s="307"/>
      <c r="BC84" s="308"/>
      <c r="BD84" s="308"/>
      <c r="BE84" s="308"/>
      <c r="BF84" s="307"/>
      <c r="BG84" s="372"/>
      <c r="BH84" s="373"/>
      <c r="BI84" s="373"/>
      <c r="BJ84" s="373"/>
      <c r="BK84" s="374"/>
      <c r="BL84" s="822"/>
      <c r="BM84" s="335"/>
      <c r="BN84" s="1305"/>
      <c r="BO84" s="1305"/>
      <c r="BP84" s="336"/>
      <c r="BQ84" s="1305"/>
      <c r="BR84" s="1305"/>
      <c r="BS84" s="337"/>
      <c r="BT84" s="760"/>
      <c r="BU84" s="1305"/>
      <c r="BV84" s="780"/>
      <c r="BW84" s="1305"/>
      <c r="BX84" s="1305"/>
      <c r="BY84" s="206"/>
      <c r="BZ84" s="1305"/>
      <c r="CA84" s="1305"/>
      <c r="CB84" s="206"/>
      <c r="CC84" s="1305"/>
      <c r="CD84" s="1305"/>
      <c r="CE84" s="206"/>
      <c r="CF84" s="1305"/>
      <c r="CG84" s="206"/>
      <c r="CH84" s="1305"/>
      <c r="CI84" s="206"/>
      <c r="CJ84" s="337"/>
      <c r="CK84" s="208"/>
      <c r="CL84" s="801"/>
      <c r="CM84" s="386"/>
      <c r="CN84" s="797"/>
      <c r="CO84" s="798"/>
      <c r="CP84" s="387"/>
      <c r="CQ84" s="797"/>
      <c r="CR84" s="798"/>
      <c r="CS84" s="798"/>
      <c r="CT84" s="212"/>
      <c r="CU84" s="793"/>
      <c r="CV84" s="794"/>
      <c r="CW84" s="212"/>
    </row>
    <row r="85" spans="1:101" ht="15.9" customHeight="1" x14ac:dyDescent="0.3">
      <c r="A85" s="156"/>
      <c r="B85" s="1237"/>
      <c r="C85" s="1237"/>
      <c r="D85" s="1321"/>
      <c r="E85" s="1237"/>
      <c r="F85" s="1237"/>
      <c r="G85" s="1237"/>
      <c r="H85" s="1237"/>
      <c r="I85" s="1237"/>
      <c r="J85" s="1237"/>
      <c r="K85" s="783"/>
      <c r="L85" s="783"/>
      <c r="M85" s="783"/>
      <c r="N85" s="1237"/>
      <c r="O85" s="1237"/>
      <c r="P85" s="1313"/>
      <c r="Q85" s="1325"/>
      <c r="R85" s="293"/>
      <c r="S85" s="388" t="s">
        <v>507</v>
      </c>
      <c r="T85" s="302"/>
      <c r="U85" s="388" t="s">
        <v>507</v>
      </c>
      <c r="V85" s="302"/>
      <c r="W85" s="302"/>
      <c r="X85" s="388" t="s">
        <v>507</v>
      </c>
      <c r="Y85" s="302"/>
      <c r="Z85" s="347"/>
      <c r="AA85" s="347"/>
      <c r="AB85" s="347"/>
      <c r="AC85" s="347" t="s">
        <v>186</v>
      </c>
      <c r="AD85" s="389" t="s">
        <v>321</v>
      </c>
      <c r="AE85" s="618" t="s">
        <v>508</v>
      </c>
      <c r="AF85" s="618" t="s">
        <v>69</v>
      </c>
      <c r="AG85" s="982">
        <v>0.05</v>
      </c>
      <c r="AH85" s="308">
        <v>0.05</v>
      </c>
      <c r="AI85" s="632">
        <v>0.05</v>
      </c>
      <c r="AJ85" s="308">
        <v>0.05</v>
      </c>
      <c r="AK85" s="308">
        <f>AI85</f>
        <v>0.05</v>
      </c>
      <c r="AL85" s="308">
        <f>AJ85</f>
        <v>0.05</v>
      </c>
      <c r="AM85" s="308">
        <v>0.05</v>
      </c>
      <c r="AN85" s="308" t="e">
        <f>#REF!</f>
        <v>#REF!</v>
      </c>
      <c r="AO85" s="308">
        <v>0.05</v>
      </c>
      <c r="AP85" s="308">
        <f>AL85</f>
        <v>0.05</v>
      </c>
      <c r="AQ85" s="307"/>
      <c r="AR85" s="307"/>
      <c r="AS85" s="307"/>
      <c r="AT85" s="307">
        <v>0.05</v>
      </c>
      <c r="AU85" s="348">
        <v>0.05</v>
      </c>
      <c r="AV85" s="348">
        <v>0.05</v>
      </c>
      <c r="AW85" s="348">
        <v>0.05</v>
      </c>
      <c r="AX85" s="348">
        <v>0.05</v>
      </c>
      <c r="AY85" s="308">
        <v>0.05</v>
      </c>
      <c r="AZ85" s="605">
        <v>53</v>
      </c>
      <c r="BA85" s="307">
        <v>0</v>
      </c>
      <c r="BB85" s="307">
        <v>0</v>
      </c>
      <c r="BC85" s="308">
        <v>0</v>
      </c>
      <c r="BD85" s="308">
        <v>0</v>
      </c>
      <c r="BE85" s="308">
        <v>0</v>
      </c>
      <c r="BF85" s="307">
        <v>0</v>
      </c>
      <c r="BG85" s="372"/>
      <c r="BH85" s="373"/>
      <c r="BI85" s="373"/>
      <c r="BJ85" s="373"/>
      <c r="BK85" s="374"/>
      <c r="BL85" s="822"/>
      <c r="BM85" s="335"/>
      <c r="BN85" s="1305"/>
      <c r="BO85" s="1305"/>
      <c r="BP85" s="336"/>
      <c r="BQ85" s="1305"/>
      <c r="BR85" s="1305"/>
      <c r="BS85" s="337"/>
      <c r="BT85" s="760"/>
      <c r="BU85" s="1305"/>
      <c r="BV85" s="780"/>
      <c r="BW85" s="1305"/>
      <c r="BX85" s="1305"/>
      <c r="BY85" s="206"/>
      <c r="BZ85" s="1305"/>
      <c r="CA85" s="1305"/>
      <c r="CB85" s="206"/>
      <c r="CC85" s="1305"/>
      <c r="CD85" s="1305"/>
      <c r="CE85" s="206"/>
      <c r="CF85" s="1305"/>
      <c r="CG85" s="206"/>
      <c r="CH85" s="1305"/>
      <c r="CI85" s="206"/>
      <c r="CJ85" s="337"/>
      <c r="CK85" s="208"/>
      <c r="CL85" s="801"/>
      <c r="CM85" s="386"/>
      <c r="CN85" s="797"/>
      <c r="CO85" s="798"/>
      <c r="CP85" s="387"/>
      <c r="CQ85" s="797"/>
      <c r="CR85" s="798"/>
      <c r="CS85" s="798"/>
      <c r="CT85" s="212"/>
      <c r="CU85" s="793"/>
      <c r="CV85" s="794"/>
      <c r="CW85" s="212"/>
    </row>
    <row r="86" spans="1:101" ht="15.9" customHeight="1" x14ac:dyDescent="0.3">
      <c r="A86" s="156"/>
      <c r="B86" s="1237"/>
      <c r="C86" s="1237"/>
      <c r="D86" s="1321"/>
      <c r="E86" s="1237"/>
      <c r="F86" s="1237"/>
      <c r="G86" s="1237"/>
      <c r="H86" s="1237"/>
      <c r="I86" s="1237"/>
      <c r="J86" s="1237"/>
      <c r="K86" s="783"/>
      <c r="L86" s="783"/>
      <c r="M86" s="783"/>
      <c r="N86" s="1237"/>
      <c r="O86" s="1237"/>
      <c r="P86" s="1313"/>
      <c r="Q86" s="1325"/>
      <c r="R86" s="876"/>
      <c r="S86" s="499"/>
      <c r="T86" s="497"/>
      <c r="U86" s="499"/>
      <c r="V86" s="497"/>
      <c r="W86" s="499" t="s">
        <v>509</v>
      </c>
      <c r="X86" s="499" t="s">
        <v>509</v>
      </c>
      <c r="Y86" s="497"/>
      <c r="Z86" s="877"/>
      <c r="AA86" s="877"/>
      <c r="AB86" s="877"/>
      <c r="AC86" s="877" t="s">
        <v>186</v>
      </c>
      <c r="AD86" s="500"/>
      <c r="AE86" s="620" t="s">
        <v>510</v>
      </c>
      <c r="AF86" s="620"/>
      <c r="AG86" s="983"/>
      <c r="AH86" s="879"/>
      <c r="AI86" s="878"/>
      <c r="AJ86" s="879"/>
      <c r="AK86" s="879"/>
      <c r="AL86" s="879"/>
      <c r="AM86" s="879"/>
      <c r="AN86" s="879"/>
      <c r="AO86" s="879"/>
      <c r="AP86" s="879"/>
      <c r="AQ86" s="880"/>
      <c r="AR86" s="880"/>
      <c r="AS86" s="880"/>
      <c r="AT86" s="880"/>
      <c r="AU86" s="881"/>
      <c r="AV86" s="881"/>
      <c r="AW86" s="881"/>
      <c r="AX86" s="882"/>
      <c r="AY86" s="879"/>
      <c r="AZ86" s="605"/>
      <c r="BA86" s="880"/>
      <c r="BB86" s="880"/>
      <c r="BC86" s="879"/>
      <c r="BD86" s="879"/>
      <c r="BE86" s="879"/>
      <c r="BF86" s="880"/>
      <c r="BG86" s="883"/>
      <c r="BH86" s="884"/>
      <c r="BI86" s="884"/>
      <c r="BJ86" s="884"/>
      <c r="BK86" s="885"/>
      <c r="BL86" s="822"/>
      <c r="BM86" s="335"/>
      <c r="BN86" s="1305"/>
      <c r="BO86" s="1305"/>
      <c r="BP86" s="336"/>
      <c r="BQ86" s="1305"/>
      <c r="BR86" s="1305"/>
      <c r="BS86" s="337"/>
      <c r="BT86" s="760"/>
      <c r="BU86" s="1305"/>
      <c r="BV86" s="780"/>
      <c r="BW86" s="1305"/>
      <c r="BX86" s="1305"/>
      <c r="BY86" s="206"/>
      <c r="BZ86" s="1305"/>
      <c r="CA86" s="1305"/>
      <c r="CB86" s="206"/>
      <c r="CC86" s="1305"/>
      <c r="CD86" s="1305"/>
      <c r="CE86" s="206"/>
      <c r="CF86" s="1305"/>
      <c r="CG86" s="206"/>
      <c r="CH86" s="1305"/>
      <c r="CI86" s="206"/>
      <c r="CJ86" s="337"/>
      <c r="CK86" s="208"/>
      <c r="CL86" s="801"/>
      <c r="CM86" s="386"/>
      <c r="CN86" s="797"/>
      <c r="CO86" s="798"/>
      <c r="CP86" s="387"/>
      <c r="CQ86" s="797"/>
      <c r="CR86" s="798"/>
      <c r="CS86" s="798"/>
      <c r="CT86" s="212"/>
      <c r="CU86" s="793"/>
      <c r="CV86" s="794"/>
      <c r="CW86" s="212"/>
    </row>
    <row r="87" spans="1:101" ht="26.4" x14ac:dyDescent="0.3">
      <c r="A87" s="156"/>
      <c r="B87" s="1239"/>
      <c r="C87" s="1239"/>
      <c r="D87" s="1322"/>
      <c r="E87" s="1239"/>
      <c r="F87" s="1239"/>
      <c r="G87" s="1239"/>
      <c r="H87" s="1239"/>
      <c r="I87" s="1239"/>
      <c r="J87" s="1239"/>
      <c r="K87" s="784"/>
      <c r="L87" s="784"/>
      <c r="M87" s="784"/>
      <c r="N87" s="1239"/>
      <c r="O87" s="1239"/>
      <c r="P87" s="1319"/>
      <c r="Q87" s="1303"/>
      <c r="R87" s="316"/>
      <c r="S87" s="317"/>
      <c r="T87" s="317"/>
      <c r="U87" s="317"/>
      <c r="V87" s="317"/>
      <c r="W87" s="317"/>
      <c r="X87" s="317"/>
      <c r="Y87" s="317"/>
      <c r="Z87" s="390"/>
      <c r="AA87" s="391"/>
      <c r="AB87" s="391"/>
      <c r="AC87" s="391" t="s">
        <v>186</v>
      </c>
      <c r="AD87" s="392" t="s">
        <v>52</v>
      </c>
      <c r="AE87" s="619" t="s">
        <v>67</v>
      </c>
      <c r="AF87" s="619"/>
      <c r="AG87" s="984">
        <v>0.2</v>
      </c>
      <c r="AH87" s="395">
        <v>0.2</v>
      </c>
      <c r="AI87" s="633">
        <v>0.2</v>
      </c>
      <c r="AJ87" s="395">
        <v>0.2</v>
      </c>
      <c r="AK87" s="395">
        <f>AI87</f>
        <v>0.2</v>
      </c>
      <c r="AL87" s="395">
        <f>AJ87</f>
        <v>0.2</v>
      </c>
      <c r="AM87" s="395">
        <v>0.2</v>
      </c>
      <c r="AN87" s="395" t="e">
        <f>#REF!</f>
        <v>#REF!</v>
      </c>
      <c r="AO87" s="395">
        <v>0.2</v>
      </c>
      <c r="AP87" s="395">
        <f>AL87</f>
        <v>0.2</v>
      </c>
      <c r="AQ87" s="396"/>
      <c r="AR87" s="396"/>
      <c r="AS87" s="396"/>
      <c r="AT87" s="396">
        <v>0.2</v>
      </c>
      <c r="AU87" s="394">
        <v>0.2</v>
      </c>
      <c r="AV87" s="394">
        <v>0.2</v>
      </c>
      <c r="AW87" s="394">
        <v>0.2</v>
      </c>
      <c r="AX87" s="394">
        <v>0.2</v>
      </c>
      <c r="AY87" s="395">
        <v>0.2</v>
      </c>
      <c r="AZ87" s="605">
        <v>54</v>
      </c>
      <c r="BA87" s="393">
        <v>1</v>
      </c>
      <c r="BB87" s="393">
        <v>1</v>
      </c>
      <c r="BC87" s="395">
        <v>1</v>
      </c>
      <c r="BD87" s="395">
        <v>1</v>
      </c>
      <c r="BE87" s="395">
        <v>1</v>
      </c>
      <c r="BF87" s="396">
        <v>1</v>
      </c>
      <c r="BG87" s="323"/>
      <c r="BH87" s="325"/>
      <c r="BI87" s="325"/>
      <c r="BJ87" s="325"/>
      <c r="BK87" s="324"/>
      <c r="BL87" s="822"/>
      <c r="BM87" s="335" t="s">
        <v>67</v>
      </c>
      <c r="BN87" s="1323"/>
      <c r="BO87" s="1323"/>
      <c r="BP87" s="336" t="s">
        <v>67</v>
      </c>
      <c r="BQ87" s="1323"/>
      <c r="BR87" s="1323"/>
      <c r="BS87" s="337" t="s">
        <v>67</v>
      </c>
      <c r="BT87" s="760"/>
      <c r="BU87" s="1323"/>
      <c r="BV87" s="337" t="s">
        <v>67</v>
      </c>
      <c r="BW87" s="1323"/>
      <c r="BX87" s="1323"/>
      <c r="BY87" s="206"/>
      <c r="BZ87" s="1323"/>
      <c r="CA87" s="1323"/>
      <c r="CB87" s="206"/>
      <c r="CC87" s="1323"/>
      <c r="CD87" s="1323"/>
      <c r="CE87" s="206"/>
      <c r="CF87" s="1323"/>
      <c r="CG87" s="206"/>
      <c r="CH87" s="1323"/>
      <c r="CI87" s="206"/>
      <c r="CJ87" s="337" t="s">
        <v>67</v>
      </c>
      <c r="CK87" s="208"/>
      <c r="CL87" s="209" t="s">
        <v>322</v>
      </c>
      <c r="CM87" s="397" t="s">
        <v>67</v>
      </c>
      <c r="CN87" s="210">
        <v>3.75</v>
      </c>
      <c r="CO87" s="211">
        <v>1</v>
      </c>
      <c r="CP87" s="398">
        <v>0.92</v>
      </c>
      <c r="CQ87" s="210">
        <v>3.75</v>
      </c>
      <c r="CR87" s="211">
        <v>1</v>
      </c>
      <c r="CS87" s="211" t="s">
        <v>248</v>
      </c>
      <c r="CT87" s="212"/>
      <c r="CU87" s="793" t="s">
        <v>67</v>
      </c>
      <c r="CV87" s="212"/>
      <c r="CW87" s="212"/>
    </row>
    <row r="88" spans="1:101" ht="15" customHeight="1" x14ac:dyDescent="0.3">
      <c r="A88" s="156"/>
      <c r="B88" s="1283" t="s">
        <v>323</v>
      </c>
      <c r="C88" s="1283"/>
      <c r="D88" s="1324" t="s">
        <v>324</v>
      </c>
      <c r="E88" s="1283" t="s">
        <v>325</v>
      </c>
      <c r="F88" s="1283" t="s">
        <v>326</v>
      </c>
      <c r="G88" s="1283" t="s">
        <v>282</v>
      </c>
      <c r="H88" s="1283"/>
      <c r="I88" s="1283" t="s">
        <v>93</v>
      </c>
      <c r="J88" s="1283" t="s">
        <v>93</v>
      </c>
      <c r="K88" s="771"/>
      <c r="L88" s="771"/>
      <c r="M88" s="771"/>
      <c r="N88" s="1283"/>
      <c r="O88" s="1283" t="s">
        <v>327</v>
      </c>
      <c r="P88" s="1312" t="s">
        <v>328</v>
      </c>
      <c r="Q88" s="399"/>
      <c r="R88" s="332"/>
      <c r="S88" s="810"/>
      <c r="T88" s="327"/>
      <c r="U88" s="810"/>
      <c r="V88" s="327"/>
      <c r="W88" s="331"/>
      <c r="X88" s="810"/>
      <c r="Y88" s="327"/>
      <c r="Z88" s="360" t="s">
        <v>186</v>
      </c>
      <c r="AA88" s="379"/>
      <c r="AB88" s="379"/>
      <c r="AC88" s="379"/>
      <c r="AD88" s="334" t="s">
        <v>329</v>
      </c>
      <c r="AE88" s="617" t="s">
        <v>561</v>
      </c>
      <c r="AF88" s="617"/>
      <c r="AG88" s="985">
        <v>1.5</v>
      </c>
      <c r="AH88" s="252">
        <v>1.5</v>
      </c>
      <c r="AI88" s="250">
        <v>1.5</v>
      </c>
      <c r="AJ88" s="252">
        <v>1.5</v>
      </c>
      <c r="AK88" s="252">
        <v>1.5</v>
      </c>
      <c r="AL88" s="252">
        <v>1.5</v>
      </c>
      <c r="AM88" s="252">
        <v>1.5</v>
      </c>
      <c r="AN88" s="252">
        <v>1.5</v>
      </c>
      <c r="AO88" s="252">
        <v>1.5</v>
      </c>
      <c r="AP88" s="252">
        <v>3.25</v>
      </c>
      <c r="AQ88" s="289"/>
      <c r="AR88" s="289"/>
      <c r="AS88" s="289"/>
      <c r="AT88" s="250">
        <v>2.4750000000000001</v>
      </c>
      <c r="AU88" s="251">
        <v>2.4750000000000001</v>
      </c>
      <c r="AV88" s="251">
        <v>2.4750000000000001</v>
      </c>
      <c r="AW88" s="251">
        <v>2.4750000000000001</v>
      </c>
      <c r="AX88" s="682"/>
      <c r="AY88" s="252">
        <v>2.4750000000000001</v>
      </c>
      <c r="AZ88" s="605">
        <v>55</v>
      </c>
      <c r="BA88" s="1334">
        <v>0</v>
      </c>
      <c r="BB88" s="1328">
        <v>0</v>
      </c>
      <c r="BC88" s="1326">
        <v>0</v>
      </c>
      <c r="BD88" s="1326">
        <v>0</v>
      </c>
      <c r="BE88" s="1326">
        <v>0</v>
      </c>
      <c r="BF88" s="1328">
        <v>0</v>
      </c>
      <c r="BG88" s="1330"/>
      <c r="BH88" s="1332"/>
      <c r="BI88" s="1332"/>
      <c r="BJ88" s="1332"/>
      <c r="BK88" s="1346"/>
      <c r="BL88" s="822"/>
      <c r="BM88" s="400" t="s">
        <v>331</v>
      </c>
      <c r="BN88" s="1344" t="s">
        <v>332</v>
      </c>
      <c r="BO88" s="1344" t="s">
        <v>332</v>
      </c>
      <c r="BP88" s="401" t="s">
        <v>333</v>
      </c>
      <c r="BQ88" s="1344" t="s">
        <v>333</v>
      </c>
      <c r="BR88" s="1344" t="s">
        <v>332</v>
      </c>
      <c r="BS88" s="401" t="s">
        <v>332</v>
      </c>
      <c r="BT88" s="760"/>
      <c r="BU88" s="1344" t="s">
        <v>332</v>
      </c>
      <c r="BV88" s="1344" t="s">
        <v>332</v>
      </c>
      <c r="BW88" s="1344" t="s">
        <v>333</v>
      </c>
      <c r="BX88" s="1344" t="s">
        <v>332</v>
      </c>
      <c r="BY88" s="206"/>
      <c r="BZ88" s="1344" t="s">
        <v>332</v>
      </c>
      <c r="CA88" s="1344" t="s">
        <v>332</v>
      </c>
      <c r="CB88" s="206"/>
      <c r="CC88" s="1344" t="s">
        <v>332</v>
      </c>
      <c r="CD88" s="1344" t="s">
        <v>332</v>
      </c>
      <c r="CE88" s="206"/>
      <c r="CF88" s="1344" t="s">
        <v>332</v>
      </c>
      <c r="CG88" s="206"/>
      <c r="CH88" s="1344" t="s">
        <v>332</v>
      </c>
      <c r="CI88" s="206"/>
      <c r="CJ88" s="401" t="s">
        <v>332</v>
      </c>
      <c r="CK88" s="208"/>
      <c r="CL88" s="1362" t="s">
        <v>334</v>
      </c>
      <c r="CM88" s="1360" t="s">
        <v>335</v>
      </c>
      <c r="CN88" s="1275">
        <v>7.24</v>
      </c>
      <c r="CO88" s="1260">
        <v>7.92</v>
      </c>
      <c r="CP88" s="1295">
        <v>0.8</v>
      </c>
      <c r="CQ88" s="1275">
        <v>7.47</v>
      </c>
      <c r="CR88" s="1260">
        <v>7.92</v>
      </c>
      <c r="CS88" s="1260" t="s">
        <v>248</v>
      </c>
      <c r="CT88" s="244"/>
      <c r="CU88" s="747" t="s">
        <v>27</v>
      </c>
      <c r="CV88" s="747" t="s">
        <v>27</v>
      </c>
      <c r="CW88" s="212"/>
    </row>
    <row r="89" spans="1:101" ht="15.6" x14ac:dyDescent="0.3">
      <c r="A89" s="156"/>
      <c r="B89" s="1284"/>
      <c r="C89" s="1284"/>
      <c r="D89" s="1324"/>
      <c r="E89" s="1284"/>
      <c r="F89" s="1284"/>
      <c r="G89" s="1284"/>
      <c r="H89" s="1284"/>
      <c r="I89" s="1284"/>
      <c r="J89" s="1284"/>
      <c r="K89" s="772"/>
      <c r="L89" s="772"/>
      <c r="M89" s="772"/>
      <c r="N89" s="1284"/>
      <c r="O89" s="1284"/>
      <c r="P89" s="1313"/>
      <c r="Q89" s="402"/>
      <c r="R89" s="403"/>
      <c r="S89" s="886" t="s">
        <v>439</v>
      </c>
      <c r="T89" s="498"/>
      <c r="U89" s="886" t="s">
        <v>439</v>
      </c>
      <c r="V89" s="303"/>
      <c r="W89" s="886" t="s">
        <v>439</v>
      </c>
      <c r="X89" s="294"/>
      <c r="Y89" s="303"/>
      <c r="Z89" s="346" t="s">
        <v>186</v>
      </c>
      <c r="AA89" s="388"/>
      <c r="AB89" s="388"/>
      <c r="AC89" s="388"/>
      <c r="AD89" s="389" t="s">
        <v>336</v>
      </c>
      <c r="AE89" s="618" t="s">
        <v>390</v>
      </c>
      <c r="AF89" s="618"/>
      <c r="AG89" s="494">
        <v>0.25</v>
      </c>
      <c r="AH89" s="494">
        <v>0.25</v>
      </c>
      <c r="AI89" s="494">
        <v>0.25</v>
      </c>
      <c r="AJ89" s="494">
        <v>0.25</v>
      </c>
      <c r="AK89" s="494">
        <v>0.25</v>
      </c>
      <c r="AL89" s="494">
        <v>0.25</v>
      </c>
      <c r="AM89" s="494">
        <v>0.25</v>
      </c>
      <c r="AN89" s="494">
        <v>0.25</v>
      </c>
      <c r="AO89" s="494">
        <v>0.25</v>
      </c>
      <c r="AP89" s="494">
        <v>0.25</v>
      </c>
      <c r="AQ89" s="301"/>
      <c r="AR89" s="301"/>
      <c r="AS89" s="301"/>
      <c r="AT89" s="296">
        <v>0.11799999999999999</v>
      </c>
      <c r="AU89" s="838">
        <v>0.11799999999999999</v>
      </c>
      <c r="AV89" s="838">
        <v>0.11799999999999999</v>
      </c>
      <c r="AW89" s="838">
        <v>0.11799999999999999</v>
      </c>
      <c r="AX89" s="683"/>
      <c r="AY89" s="297">
        <v>0.11799999999999999</v>
      </c>
      <c r="AZ89" s="605">
        <v>56</v>
      </c>
      <c r="BA89" s="1335"/>
      <c r="BB89" s="1329"/>
      <c r="BC89" s="1327"/>
      <c r="BD89" s="1327"/>
      <c r="BE89" s="1327"/>
      <c r="BF89" s="1329"/>
      <c r="BG89" s="1331"/>
      <c r="BH89" s="1333"/>
      <c r="BI89" s="1333"/>
      <c r="BJ89" s="1333"/>
      <c r="BK89" s="1347"/>
      <c r="BL89" s="822"/>
      <c r="BM89" s="400"/>
      <c r="BN89" s="1345"/>
      <c r="BO89" s="1345"/>
      <c r="BP89" s="401"/>
      <c r="BQ89" s="1345"/>
      <c r="BR89" s="1345"/>
      <c r="BS89" s="401"/>
      <c r="BT89" s="760"/>
      <c r="BU89" s="1345"/>
      <c r="BV89" s="1345"/>
      <c r="BW89" s="1345"/>
      <c r="BX89" s="1345"/>
      <c r="BY89" s="206"/>
      <c r="BZ89" s="1345"/>
      <c r="CA89" s="1345"/>
      <c r="CB89" s="206"/>
      <c r="CC89" s="1345"/>
      <c r="CD89" s="1345"/>
      <c r="CE89" s="206"/>
      <c r="CF89" s="1345"/>
      <c r="CG89" s="206"/>
      <c r="CH89" s="1345"/>
      <c r="CI89" s="206"/>
      <c r="CJ89" s="401"/>
      <c r="CK89" s="208"/>
      <c r="CL89" s="1363"/>
      <c r="CM89" s="1361"/>
      <c r="CN89" s="1276"/>
      <c r="CO89" s="1261"/>
      <c r="CP89" s="1296"/>
      <c r="CQ89" s="1276"/>
      <c r="CR89" s="1261"/>
      <c r="CS89" s="1261"/>
      <c r="CT89" s="244"/>
      <c r="CU89" s="747"/>
      <c r="CV89" s="238"/>
      <c r="CW89" s="212"/>
    </row>
    <row r="90" spans="1:101" ht="15.9" customHeight="1" x14ac:dyDescent="0.3">
      <c r="A90" s="156"/>
      <c r="B90" s="1284"/>
      <c r="C90" s="1284"/>
      <c r="D90" s="1283"/>
      <c r="E90" s="1284"/>
      <c r="F90" s="1284"/>
      <c r="G90" s="1284"/>
      <c r="H90" s="1284"/>
      <c r="I90" s="1284"/>
      <c r="J90" s="1284"/>
      <c r="K90" s="772"/>
      <c r="L90" s="772"/>
      <c r="M90" s="772"/>
      <c r="N90" s="1284"/>
      <c r="O90" s="1284"/>
      <c r="P90" s="1313"/>
      <c r="Q90" s="402"/>
      <c r="R90" s="496"/>
      <c r="S90" s="497"/>
      <c r="T90" s="498"/>
      <c r="U90" s="497"/>
      <c r="V90" s="498"/>
      <c r="W90" s="498"/>
      <c r="X90" s="497"/>
      <c r="Y90" s="498"/>
      <c r="Z90" s="786"/>
      <c r="AA90" s="786"/>
      <c r="AB90" s="499"/>
      <c r="AC90" s="499" t="s">
        <v>186</v>
      </c>
      <c r="AD90" s="500" t="s">
        <v>338</v>
      </c>
      <c r="AE90" s="620" t="s">
        <v>562</v>
      </c>
      <c r="AF90" s="620"/>
      <c r="AG90" s="986" t="s">
        <v>299</v>
      </c>
      <c r="AH90" s="959" t="s">
        <v>299</v>
      </c>
      <c r="AI90" s="957" t="s">
        <v>299</v>
      </c>
      <c r="AJ90" s="959" t="s">
        <v>299</v>
      </c>
      <c r="AK90" s="959" t="str">
        <f>AI90</f>
        <v>See DRAM tab</v>
      </c>
      <c r="AL90" s="959" t="str">
        <f>AJ90</f>
        <v>See DRAM tab</v>
      </c>
      <c r="AM90" s="959" t="s">
        <v>299</v>
      </c>
      <c r="AN90" s="959" t="e">
        <f>#REF!</f>
        <v>#REF!</v>
      </c>
      <c r="AO90" s="959" t="s">
        <v>299</v>
      </c>
      <c r="AP90" s="956" t="str">
        <f>AL90</f>
        <v>See DRAM tab</v>
      </c>
      <c r="AQ90" s="653"/>
      <c r="AR90" s="653"/>
      <c r="AS90" s="653"/>
      <c r="AT90" s="1358" t="s">
        <v>299</v>
      </c>
      <c r="AU90" s="1336" t="s">
        <v>299</v>
      </c>
      <c r="AV90" s="1336" t="s">
        <v>299</v>
      </c>
      <c r="AW90" s="1336" t="s">
        <v>299</v>
      </c>
      <c r="AX90" s="753"/>
      <c r="AY90" s="1338" t="s">
        <v>299</v>
      </c>
      <c r="AZ90" s="605">
        <v>57</v>
      </c>
      <c r="BA90" s="1340">
        <v>7.9169999999999998</v>
      </c>
      <c r="BB90" s="1342">
        <v>7.9169999999999998</v>
      </c>
      <c r="BC90" s="1352">
        <v>7.9169999999999998</v>
      </c>
      <c r="BD90" s="1352">
        <v>7.9169999999999998</v>
      </c>
      <c r="BE90" s="1354">
        <v>7.9169999999999998</v>
      </c>
      <c r="BF90" s="1354">
        <v>7.9169999999999998</v>
      </c>
      <c r="BG90" s="1356"/>
      <c r="BH90" s="1348"/>
      <c r="BI90" s="1348"/>
      <c r="BJ90" s="1348"/>
      <c r="BK90" s="1350"/>
      <c r="BL90" s="822"/>
      <c r="BM90" s="400"/>
      <c r="BN90" s="1345"/>
      <c r="BO90" s="1345"/>
      <c r="BP90" s="401"/>
      <c r="BQ90" s="1345"/>
      <c r="BR90" s="1345"/>
      <c r="BS90" s="401"/>
      <c r="BT90" s="760"/>
      <c r="BU90" s="1345"/>
      <c r="BV90" s="1345"/>
      <c r="BW90" s="1345"/>
      <c r="BX90" s="1345"/>
      <c r="BY90" s="206"/>
      <c r="BZ90" s="1345"/>
      <c r="CA90" s="1345"/>
      <c r="CB90" s="206"/>
      <c r="CC90" s="1345"/>
      <c r="CD90" s="1345"/>
      <c r="CE90" s="206"/>
      <c r="CF90" s="1345"/>
      <c r="CG90" s="206"/>
      <c r="CH90" s="1345"/>
      <c r="CI90" s="206"/>
      <c r="CJ90" s="401"/>
      <c r="CK90" s="208"/>
      <c r="CL90" s="1363"/>
      <c r="CM90" s="1361"/>
      <c r="CN90" s="1276"/>
      <c r="CO90" s="1261"/>
      <c r="CP90" s="1296"/>
      <c r="CQ90" s="1276"/>
      <c r="CR90" s="1261"/>
      <c r="CS90" s="1261"/>
      <c r="CT90" s="244"/>
      <c r="CU90" s="747"/>
      <c r="CV90" s="238"/>
      <c r="CW90" s="212"/>
    </row>
    <row r="91" spans="1:101" x14ac:dyDescent="0.3">
      <c r="A91" s="156"/>
      <c r="B91" s="1324" t="s">
        <v>369</v>
      </c>
      <c r="C91" s="747"/>
      <c r="D91" s="747"/>
      <c r="E91" s="747"/>
      <c r="F91" s="747"/>
      <c r="G91" s="747"/>
      <c r="H91" s="747"/>
      <c r="I91" s="747" t="s">
        <v>93</v>
      </c>
      <c r="J91" s="747" t="s">
        <v>93</v>
      </c>
      <c r="K91" s="747"/>
      <c r="L91" s="747"/>
      <c r="M91" s="747"/>
      <c r="N91" s="747"/>
      <c r="O91" s="747"/>
      <c r="P91" s="811"/>
      <c r="Q91" s="473"/>
      <c r="R91" s="473"/>
      <c r="S91" s="809"/>
      <c r="T91" s="809"/>
      <c r="U91" s="809"/>
      <c r="V91" s="809"/>
      <c r="W91" s="809"/>
      <c r="X91" s="809"/>
      <c r="Y91" s="809"/>
      <c r="Z91" s="412"/>
      <c r="AA91" s="412"/>
      <c r="AB91" s="811"/>
      <c r="AC91" s="811"/>
      <c r="AD91" s="473" t="s">
        <v>382</v>
      </c>
      <c r="AE91" s="621" t="s">
        <v>531</v>
      </c>
      <c r="AF91" s="621"/>
      <c r="AG91" s="955"/>
      <c r="AH91" s="960"/>
      <c r="AI91" s="958"/>
      <c r="AJ91" s="960"/>
      <c r="AK91" s="960"/>
      <c r="AL91" s="960"/>
      <c r="AM91" s="960"/>
      <c r="AN91" s="960"/>
      <c r="AO91" s="960"/>
      <c r="AP91" s="961"/>
      <c r="AQ91" s="476"/>
      <c r="AR91" s="476"/>
      <c r="AS91" s="476"/>
      <c r="AT91" s="1359"/>
      <c r="AU91" s="1337"/>
      <c r="AV91" s="1337"/>
      <c r="AW91" s="1337"/>
      <c r="AX91" s="754"/>
      <c r="AY91" s="1339"/>
      <c r="AZ91" s="605">
        <v>58</v>
      </c>
      <c r="BA91" s="1341"/>
      <c r="BB91" s="1343"/>
      <c r="BC91" s="1353"/>
      <c r="BD91" s="1353"/>
      <c r="BE91" s="1355"/>
      <c r="BF91" s="1355"/>
      <c r="BG91" s="1357"/>
      <c r="BH91" s="1349"/>
      <c r="BI91" s="1349"/>
      <c r="BJ91" s="1349"/>
      <c r="BK91" s="1351"/>
      <c r="BL91" s="822"/>
      <c r="BM91" s="400"/>
      <c r="BN91" s="760"/>
      <c r="BO91" s="760"/>
      <c r="BP91" s="401"/>
      <c r="BQ91" s="760"/>
      <c r="BR91" s="760"/>
      <c r="BS91" s="401"/>
      <c r="BT91" s="760"/>
      <c r="BU91" s="760"/>
      <c r="BV91" s="760"/>
      <c r="BW91" s="760"/>
      <c r="BX91" s="760"/>
      <c r="BY91" s="206"/>
      <c r="BZ91" s="760"/>
      <c r="CA91" s="760"/>
      <c r="CB91" s="206"/>
      <c r="CC91" s="760"/>
      <c r="CD91" s="760"/>
      <c r="CE91" s="206"/>
      <c r="CF91" s="760"/>
      <c r="CG91" s="206"/>
      <c r="CH91" s="760"/>
      <c r="CI91" s="206"/>
      <c r="CJ91" s="401"/>
      <c r="CK91" s="208"/>
      <c r="CL91" s="761"/>
      <c r="CM91" s="756"/>
      <c r="CN91" s="758"/>
      <c r="CO91" s="749"/>
      <c r="CP91" s="759"/>
      <c r="CQ91" s="758"/>
      <c r="CR91" s="749"/>
      <c r="CS91" s="749"/>
      <c r="CT91" s="244"/>
      <c r="CU91" s="747"/>
      <c r="CV91" s="238"/>
      <c r="CW91" s="212"/>
    </row>
    <row r="92" spans="1:101" ht="15.6" x14ac:dyDescent="0.3">
      <c r="A92" s="156"/>
      <c r="B92" s="1324"/>
      <c r="C92" s="747"/>
      <c r="D92" s="747" t="s">
        <v>370</v>
      </c>
      <c r="E92" s="747" t="s">
        <v>370</v>
      </c>
      <c r="F92" s="747" t="s">
        <v>370</v>
      </c>
      <c r="G92" s="747"/>
      <c r="H92" s="747"/>
      <c r="I92" s="747" t="s">
        <v>93</v>
      </c>
      <c r="J92" s="747" t="s">
        <v>93</v>
      </c>
      <c r="K92" s="747"/>
      <c r="L92" s="747"/>
      <c r="M92" s="747"/>
      <c r="N92" s="747"/>
      <c r="O92" s="747"/>
      <c r="P92" s="811"/>
      <c r="Q92" s="473"/>
      <c r="R92" s="473"/>
      <c r="S92" s="809"/>
      <c r="T92" s="809"/>
      <c r="U92" s="809"/>
      <c r="V92" s="809"/>
      <c r="W92" s="809"/>
      <c r="X92" s="809"/>
      <c r="Y92" s="809"/>
      <c r="Z92" s="412"/>
      <c r="AA92" s="412"/>
      <c r="AB92" s="811"/>
      <c r="AC92" s="811"/>
      <c r="AD92" s="473" t="s">
        <v>381</v>
      </c>
      <c r="AE92" s="621"/>
      <c r="AF92" s="621"/>
      <c r="AG92" s="495"/>
      <c r="AH92" s="751"/>
      <c r="AI92" s="750"/>
      <c r="AJ92" s="949"/>
      <c r="AK92" s="751"/>
      <c r="AL92" s="960"/>
      <c r="AM92" s="960"/>
      <c r="AN92" s="960"/>
      <c r="AO92" s="960"/>
      <c r="AP92" s="960"/>
      <c r="AQ92" s="476"/>
      <c r="AR92" s="476"/>
      <c r="AS92" s="476"/>
      <c r="AT92" s="752"/>
      <c r="AU92" s="755"/>
      <c r="AV92" s="755"/>
      <c r="AW92" s="755"/>
      <c r="AX92" s="754"/>
      <c r="AY92" s="775"/>
      <c r="AZ92" s="605">
        <v>59</v>
      </c>
      <c r="BA92" s="477"/>
      <c r="BB92" s="776"/>
      <c r="BC92" s="777"/>
      <c r="BD92" s="777"/>
      <c r="BE92" s="478"/>
      <c r="BF92" s="479"/>
      <c r="BG92" s="778"/>
      <c r="BH92" s="764"/>
      <c r="BI92" s="764"/>
      <c r="BJ92" s="764"/>
      <c r="BK92" s="765"/>
      <c r="BL92" s="822"/>
      <c r="BM92" s="400"/>
      <c r="BN92" s="760"/>
      <c r="BO92" s="760"/>
      <c r="BP92" s="401"/>
      <c r="BQ92" s="760"/>
      <c r="BR92" s="760"/>
      <c r="BS92" s="401"/>
      <c r="BT92" s="760"/>
      <c r="BU92" s="760"/>
      <c r="BV92" s="760"/>
      <c r="BW92" s="760"/>
      <c r="BX92" s="760"/>
      <c r="BY92" s="206"/>
      <c r="BZ92" s="760"/>
      <c r="CA92" s="760"/>
      <c r="CB92" s="206"/>
      <c r="CC92" s="760"/>
      <c r="CD92" s="760"/>
      <c r="CE92" s="206"/>
      <c r="CF92" s="760"/>
      <c r="CG92" s="206"/>
      <c r="CH92" s="760"/>
      <c r="CI92" s="206"/>
      <c r="CJ92" s="401"/>
      <c r="CK92" s="208"/>
      <c r="CL92" s="761"/>
      <c r="CM92" s="756"/>
      <c r="CN92" s="758"/>
      <c r="CO92" s="749"/>
      <c r="CP92" s="759"/>
      <c r="CQ92" s="758"/>
      <c r="CR92" s="749"/>
      <c r="CS92" s="749"/>
      <c r="CT92" s="244"/>
      <c r="CU92" s="747"/>
      <c r="CV92" s="238"/>
      <c r="CW92" s="212"/>
    </row>
    <row r="93" spans="1:101" ht="52.8" x14ac:dyDescent="0.3">
      <c r="A93" s="156"/>
      <c r="B93" s="747" t="s">
        <v>339</v>
      </c>
      <c r="C93" s="747"/>
      <c r="D93" s="747">
        <v>2.5</v>
      </c>
      <c r="E93" s="747" t="s">
        <v>340</v>
      </c>
      <c r="F93" s="747">
        <v>2.5</v>
      </c>
      <c r="G93" s="747"/>
      <c r="H93" s="747"/>
      <c r="I93" s="747" t="s">
        <v>93</v>
      </c>
      <c r="J93" s="747" t="s">
        <v>93</v>
      </c>
      <c r="K93" s="747"/>
      <c r="L93" s="747"/>
      <c r="M93" s="747"/>
      <c r="N93" s="747"/>
      <c r="O93" s="747" t="s">
        <v>327</v>
      </c>
      <c r="P93" s="181"/>
      <c r="Q93" s="182"/>
      <c r="R93" s="181"/>
      <c r="S93" s="809"/>
      <c r="T93" s="183"/>
      <c r="U93" s="809"/>
      <c r="V93" s="183"/>
      <c r="W93" s="183"/>
      <c r="X93" s="809"/>
      <c r="Y93" s="183"/>
      <c r="Z93" s="404"/>
      <c r="AA93" s="180"/>
      <c r="AB93" s="180"/>
      <c r="AC93" s="180" t="s">
        <v>186</v>
      </c>
      <c r="AD93" s="182" t="s">
        <v>511</v>
      </c>
      <c r="AE93" s="607" t="s">
        <v>560</v>
      </c>
      <c r="AF93" s="607"/>
      <c r="AG93" s="987" t="s">
        <v>299</v>
      </c>
      <c r="AH93" s="407" t="s">
        <v>299</v>
      </c>
      <c r="AI93" s="405" t="s">
        <v>299</v>
      </c>
      <c r="AJ93" s="407" t="s">
        <v>299</v>
      </c>
      <c r="AK93" s="407" t="str">
        <f t="shared" ref="AK93:AL96" si="5">AI93</f>
        <v>See DRAM tab</v>
      </c>
      <c r="AL93" s="407" t="str">
        <f t="shared" si="5"/>
        <v>See DRAM tab</v>
      </c>
      <c r="AM93" s="407" t="s">
        <v>299</v>
      </c>
      <c r="AN93" s="407" t="e">
        <f>#REF!</f>
        <v>#REF!</v>
      </c>
      <c r="AO93" s="407" t="s">
        <v>299</v>
      </c>
      <c r="AP93" s="407" t="str">
        <f>AL93</f>
        <v>See DRAM tab</v>
      </c>
      <c r="AQ93" s="405"/>
      <c r="AR93" s="405"/>
      <c r="AS93" s="405"/>
      <c r="AT93" s="405" t="s">
        <v>299</v>
      </c>
      <c r="AU93" s="406" t="s">
        <v>299</v>
      </c>
      <c r="AV93" s="406" t="s">
        <v>299</v>
      </c>
      <c r="AW93" s="406" t="s">
        <v>299</v>
      </c>
      <c r="AX93" s="678"/>
      <c r="AY93" s="407" t="s">
        <v>299</v>
      </c>
      <c r="AZ93" s="605">
        <v>60</v>
      </c>
      <c r="BA93" s="408"/>
      <c r="BB93" s="408"/>
      <c r="BC93" s="409"/>
      <c r="BD93" s="409"/>
      <c r="BE93" s="409"/>
      <c r="BF93" s="408"/>
      <c r="BG93" s="408"/>
      <c r="BH93" s="410"/>
      <c r="BI93" s="410"/>
      <c r="BJ93" s="410"/>
      <c r="BK93" s="409"/>
      <c r="BL93" s="822"/>
      <c r="BM93" s="335"/>
      <c r="BN93" s="411"/>
      <c r="BO93" s="337" t="s">
        <v>31</v>
      </c>
      <c r="BP93" s="336">
        <v>2.5</v>
      </c>
      <c r="BQ93" s="411"/>
      <c r="BR93" s="221"/>
      <c r="BS93" s="805"/>
      <c r="BT93" s="795"/>
      <c r="BU93" s="411"/>
      <c r="BV93" s="337" t="s">
        <v>31</v>
      </c>
      <c r="BW93" s="411"/>
      <c r="BX93" s="411"/>
      <c r="BY93" s="206"/>
      <c r="BZ93" s="411"/>
      <c r="CA93" s="337" t="s">
        <v>31</v>
      </c>
      <c r="CB93" s="206"/>
      <c r="CC93" s="411"/>
      <c r="CD93" s="337" t="s">
        <v>31</v>
      </c>
      <c r="CE93" s="206"/>
      <c r="CF93" s="337" t="s">
        <v>31</v>
      </c>
      <c r="CG93" s="206"/>
      <c r="CH93" s="337" t="s">
        <v>31</v>
      </c>
      <c r="CI93" s="206"/>
      <c r="CJ93" s="337" t="s">
        <v>31</v>
      </c>
      <c r="CK93" s="208"/>
      <c r="CL93" s="209" t="s">
        <v>341</v>
      </c>
      <c r="CM93" s="192"/>
      <c r="CN93" s="210">
        <v>1</v>
      </c>
      <c r="CO93" s="211">
        <v>0</v>
      </c>
      <c r="CP93" s="398">
        <v>0.86</v>
      </c>
      <c r="CQ93" s="210">
        <v>1</v>
      </c>
      <c r="CR93" s="211">
        <v>0</v>
      </c>
      <c r="CS93" s="211" t="s">
        <v>248</v>
      </c>
      <c r="CT93" s="212"/>
      <c r="CU93" s="793"/>
      <c r="CV93" s="212"/>
      <c r="CW93" s="212"/>
    </row>
    <row r="94" spans="1:101" ht="26.4" x14ac:dyDescent="0.3">
      <c r="A94" s="156"/>
      <c r="B94" s="793" t="s">
        <v>106</v>
      </c>
      <c r="C94" s="793"/>
      <c r="D94" s="793" t="s">
        <v>97</v>
      </c>
      <c r="E94" s="793" t="s">
        <v>28</v>
      </c>
      <c r="F94" s="793" t="s">
        <v>97</v>
      </c>
      <c r="G94" s="793"/>
      <c r="H94" s="793"/>
      <c r="I94" s="793" t="s">
        <v>96</v>
      </c>
      <c r="J94" s="793" t="s">
        <v>96</v>
      </c>
      <c r="K94" s="793"/>
      <c r="L94" s="793"/>
      <c r="M94" s="793"/>
      <c r="N94" s="793"/>
      <c r="O94" s="793" t="s">
        <v>342</v>
      </c>
      <c r="P94" s="181" t="s">
        <v>343</v>
      </c>
      <c r="Q94" s="182"/>
      <c r="R94" s="181"/>
      <c r="S94" s="809"/>
      <c r="T94" s="183"/>
      <c r="U94" s="809"/>
      <c r="V94" s="183"/>
      <c r="W94" s="183"/>
      <c r="X94" s="809"/>
      <c r="Y94" s="183"/>
      <c r="Z94" s="412"/>
      <c r="AA94" s="180"/>
      <c r="AB94" s="180"/>
      <c r="AC94" s="180" t="s">
        <v>186</v>
      </c>
      <c r="AD94" s="182" t="s">
        <v>512</v>
      </c>
      <c r="AE94" s="622"/>
      <c r="AF94" s="622"/>
      <c r="AG94" s="988" t="s">
        <v>299</v>
      </c>
      <c r="AH94" s="407" t="s">
        <v>299</v>
      </c>
      <c r="AI94" s="405" t="s">
        <v>299</v>
      </c>
      <c r="AJ94" s="407" t="s">
        <v>299</v>
      </c>
      <c r="AK94" s="407" t="str">
        <f t="shared" si="5"/>
        <v>See DRAM tab</v>
      </c>
      <c r="AL94" s="407" t="str">
        <f t="shared" si="5"/>
        <v>See DRAM tab</v>
      </c>
      <c r="AM94" s="407" t="s">
        <v>299</v>
      </c>
      <c r="AN94" s="407" t="e">
        <f>#REF!</f>
        <v>#REF!</v>
      </c>
      <c r="AO94" s="407" t="s">
        <v>299</v>
      </c>
      <c r="AP94" s="407" t="str">
        <f>AL94</f>
        <v>See DRAM tab</v>
      </c>
      <c r="AQ94" s="405"/>
      <c r="AR94" s="405"/>
      <c r="AS94" s="405"/>
      <c r="AT94" s="405" t="s">
        <v>299</v>
      </c>
      <c r="AU94" s="406" t="s">
        <v>299</v>
      </c>
      <c r="AV94" s="406" t="s">
        <v>299</v>
      </c>
      <c r="AW94" s="406" t="s">
        <v>299</v>
      </c>
      <c r="AX94" s="678"/>
      <c r="AY94" s="407" t="s">
        <v>299</v>
      </c>
      <c r="AZ94" s="605">
        <v>61</v>
      </c>
      <c r="BA94" s="413">
        <v>0</v>
      </c>
      <c r="BB94" s="413">
        <v>0</v>
      </c>
      <c r="BC94" s="414">
        <v>0</v>
      </c>
      <c r="BD94" s="414">
        <v>0</v>
      </c>
      <c r="BE94" s="414">
        <v>0</v>
      </c>
      <c r="BF94" s="408"/>
      <c r="BG94" s="408"/>
      <c r="BH94" s="410"/>
      <c r="BI94" s="410"/>
      <c r="BJ94" s="410"/>
      <c r="BK94" s="409"/>
      <c r="BL94" s="822"/>
      <c r="BM94" s="335" t="s">
        <v>344</v>
      </c>
      <c r="BN94" s="415" t="s">
        <v>345</v>
      </c>
      <c r="BO94" s="415" t="s">
        <v>345</v>
      </c>
      <c r="BP94" s="416" t="s">
        <v>346</v>
      </c>
      <c r="BQ94" s="415" t="s">
        <v>347</v>
      </c>
      <c r="BR94" s="415" t="s">
        <v>345</v>
      </c>
      <c r="BS94" s="337" t="s">
        <v>345</v>
      </c>
      <c r="BT94" s="760"/>
      <c r="BU94" s="415" t="s">
        <v>345</v>
      </c>
      <c r="BV94" s="415" t="s">
        <v>345</v>
      </c>
      <c r="BW94" s="415" t="s">
        <v>347</v>
      </c>
      <c r="BX94" s="415" t="s">
        <v>345</v>
      </c>
      <c r="BY94" s="206"/>
      <c r="BZ94" s="415" t="s">
        <v>345</v>
      </c>
      <c r="CA94" s="415" t="s">
        <v>345</v>
      </c>
      <c r="CB94" s="206"/>
      <c r="CC94" s="415" t="s">
        <v>345</v>
      </c>
      <c r="CD94" s="415" t="s">
        <v>345</v>
      </c>
      <c r="CE94" s="206"/>
      <c r="CF94" s="415" t="s">
        <v>345</v>
      </c>
      <c r="CG94" s="206"/>
      <c r="CH94" s="415" t="s">
        <v>345</v>
      </c>
      <c r="CI94" s="206"/>
      <c r="CJ94" s="337" t="s">
        <v>345</v>
      </c>
      <c r="CK94" s="208"/>
      <c r="CL94" s="209" t="s">
        <v>348</v>
      </c>
      <c r="CM94" s="412" t="s">
        <v>106</v>
      </c>
      <c r="CN94" s="210">
        <v>0.6</v>
      </c>
      <c r="CO94" s="211">
        <v>0</v>
      </c>
      <c r="CP94" s="398">
        <v>0.5</v>
      </c>
      <c r="CQ94" s="210">
        <v>0.6</v>
      </c>
      <c r="CR94" s="211">
        <v>0</v>
      </c>
      <c r="CS94" s="211"/>
      <c r="CT94" s="212"/>
      <c r="CU94" s="793" t="s">
        <v>106</v>
      </c>
      <c r="CV94" s="212"/>
      <c r="CW94" s="212"/>
    </row>
    <row r="95" spans="1:101" ht="40.200000000000003" thickBot="1" x14ac:dyDescent="0.35">
      <c r="A95" s="156"/>
      <c r="B95" s="793" t="s">
        <v>349</v>
      </c>
      <c r="C95" s="793"/>
      <c r="D95" s="793" t="s">
        <v>350</v>
      </c>
      <c r="E95" s="793" t="s">
        <v>350</v>
      </c>
      <c r="F95" s="793" t="s">
        <v>350</v>
      </c>
      <c r="G95" s="793"/>
      <c r="H95" s="793"/>
      <c r="I95" s="793" t="s">
        <v>187</v>
      </c>
      <c r="J95" s="793" t="s">
        <v>187</v>
      </c>
      <c r="K95" s="793"/>
      <c r="L95" s="793"/>
      <c r="M95" s="793"/>
      <c r="N95" s="793"/>
      <c r="O95" s="793" t="s">
        <v>351</v>
      </c>
      <c r="P95" s="181"/>
      <c r="Q95" s="182"/>
      <c r="R95" s="181"/>
      <c r="S95" s="417"/>
      <c r="T95" s="418"/>
      <c r="U95" s="417"/>
      <c r="V95" s="418"/>
      <c r="W95" s="418"/>
      <c r="X95" s="417"/>
      <c r="Y95" s="418"/>
      <c r="Z95" s="412"/>
      <c r="AA95" s="412" t="s">
        <v>186</v>
      </c>
      <c r="AB95" s="180" t="s">
        <v>352</v>
      </c>
      <c r="AC95" s="412"/>
      <c r="AD95" s="182" t="s">
        <v>353</v>
      </c>
      <c r="AE95" s="606" t="s">
        <v>392</v>
      </c>
      <c r="AF95" s="606"/>
      <c r="AG95" s="989">
        <v>5.0000000000000001E-3</v>
      </c>
      <c r="AH95" s="420">
        <v>5.0000000000000001E-3</v>
      </c>
      <c r="AI95" s="419">
        <v>5.0000000000000001E-3</v>
      </c>
      <c r="AJ95" s="420">
        <v>5.0000000000000001E-3</v>
      </c>
      <c r="AK95" s="420">
        <f t="shared" si="5"/>
        <v>5.0000000000000001E-3</v>
      </c>
      <c r="AL95" s="420">
        <f t="shared" si="5"/>
        <v>5.0000000000000001E-3</v>
      </c>
      <c r="AM95" s="420">
        <v>5.0000000000000001E-3</v>
      </c>
      <c r="AN95" s="420" t="e">
        <f>#REF!</f>
        <v>#REF!</v>
      </c>
      <c r="AO95" s="420">
        <v>5.0000000000000001E-3</v>
      </c>
      <c r="AP95" s="420">
        <f>AL95</f>
        <v>5.0000000000000001E-3</v>
      </c>
      <c r="AQ95" s="421"/>
      <c r="AR95" s="421"/>
      <c r="AS95" s="421"/>
      <c r="AT95" s="421" t="s">
        <v>330</v>
      </c>
      <c r="AU95" s="422" t="s">
        <v>330</v>
      </c>
      <c r="AV95" s="422" t="s">
        <v>330</v>
      </c>
      <c r="AW95" s="422" t="s">
        <v>330</v>
      </c>
      <c r="AX95" s="679"/>
      <c r="AY95" s="423" t="s">
        <v>330</v>
      </c>
      <c r="AZ95" s="605">
        <v>62</v>
      </c>
      <c r="BA95" s="419">
        <v>6.0000000000000001E-3</v>
      </c>
      <c r="BB95" s="419">
        <v>6.0000000000000001E-3</v>
      </c>
      <c r="BC95" s="420">
        <v>6.0000000000000001E-3</v>
      </c>
      <c r="BD95" s="420">
        <v>6.0000000000000001E-3</v>
      </c>
      <c r="BE95" s="420">
        <v>6.0000000000000001E-3</v>
      </c>
      <c r="BF95" s="421"/>
      <c r="BG95" s="421"/>
      <c r="BH95" s="422"/>
      <c r="BI95" s="422"/>
      <c r="BJ95" s="422"/>
      <c r="BK95" s="423"/>
      <c r="BL95" s="822"/>
      <c r="BM95" s="335"/>
      <c r="BN95" s="415" t="s">
        <v>349</v>
      </c>
      <c r="BO95" s="415" t="s">
        <v>349</v>
      </c>
      <c r="BP95" s="415" t="s">
        <v>349</v>
      </c>
      <c r="BQ95" s="415" t="s">
        <v>349</v>
      </c>
      <c r="BR95" s="415" t="s">
        <v>349</v>
      </c>
      <c r="BS95" s="805"/>
      <c r="BT95" s="795"/>
      <c r="BU95" s="415" t="s">
        <v>349</v>
      </c>
      <c r="BV95" s="415" t="s">
        <v>349</v>
      </c>
      <c r="BW95" s="415" t="s">
        <v>349</v>
      </c>
      <c r="BX95" s="415" t="s">
        <v>349</v>
      </c>
      <c r="BY95" s="206"/>
      <c r="BZ95" s="415" t="s">
        <v>349</v>
      </c>
      <c r="CA95" s="415" t="s">
        <v>349</v>
      </c>
      <c r="CB95" s="206"/>
      <c r="CC95" s="415" t="s">
        <v>349</v>
      </c>
      <c r="CD95" s="415" t="s">
        <v>349</v>
      </c>
      <c r="CE95" s="206"/>
      <c r="CF95" s="415" t="s">
        <v>349</v>
      </c>
      <c r="CG95" s="206"/>
      <c r="CH95" s="415" t="s">
        <v>349</v>
      </c>
      <c r="CI95" s="206"/>
      <c r="CJ95" s="337"/>
      <c r="CK95" s="208"/>
      <c r="CL95" s="209" t="s">
        <v>354</v>
      </c>
      <c r="CM95" s="412" t="s">
        <v>349</v>
      </c>
      <c r="CN95" s="210"/>
      <c r="CO95" s="211"/>
      <c r="CP95" s="211"/>
      <c r="CQ95" s="210"/>
      <c r="CR95" s="211"/>
      <c r="CS95" s="211"/>
      <c r="CT95" s="212"/>
      <c r="CU95" s="793"/>
      <c r="CV95" s="212"/>
      <c r="CW95" s="212"/>
    </row>
    <row r="96" spans="1:101" ht="40.200000000000003" thickBot="1" x14ac:dyDescent="0.35">
      <c r="A96" s="156"/>
      <c r="B96" s="793" t="s">
        <v>19</v>
      </c>
      <c r="C96" s="793"/>
      <c r="D96" s="793" t="s">
        <v>19</v>
      </c>
      <c r="E96" s="793" t="s">
        <v>187</v>
      </c>
      <c r="F96" s="793"/>
      <c r="G96" s="793"/>
      <c r="H96" s="793"/>
      <c r="I96" s="793" t="s">
        <v>187</v>
      </c>
      <c r="J96" s="793" t="s">
        <v>187</v>
      </c>
      <c r="K96" s="793"/>
      <c r="L96" s="793"/>
      <c r="M96" s="793"/>
      <c r="N96" s="793"/>
      <c r="O96" s="793" t="s">
        <v>187</v>
      </c>
      <c r="P96" s="181"/>
      <c r="Q96" s="182"/>
      <c r="R96" s="181"/>
      <c r="S96" s="424" t="s">
        <v>313</v>
      </c>
      <c r="T96" s="424" t="s">
        <v>313</v>
      </c>
      <c r="U96" s="424" t="s">
        <v>313</v>
      </c>
      <c r="V96" s="424" t="s">
        <v>313</v>
      </c>
      <c r="W96" s="424"/>
      <c r="X96" s="424" t="s">
        <v>313</v>
      </c>
      <c r="Y96" s="418"/>
      <c r="Z96" s="412"/>
      <c r="AA96" s="412"/>
      <c r="AB96" s="180"/>
      <c r="AC96" s="412" t="s">
        <v>186</v>
      </c>
      <c r="AD96" s="182" t="s">
        <v>314</v>
      </c>
      <c r="AE96" s="606" t="s">
        <v>393</v>
      </c>
      <c r="AF96" s="606"/>
      <c r="AG96" s="990">
        <v>0.55000000000000004</v>
      </c>
      <c r="AH96" s="426">
        <v>0.55000000000000004</v>
      </c>
      <c r="AI96" s="425">
        <v>0.55000000000000004</v>
      </c>
      <c r="AJ96" s="426">
        <v>0.55000000000000004</v>
      </c>
      <c r="AK96" s="426">
        <f t="shared" si="5"/>
        <v>0.55000000000000004</v>
      </c>
      <c r="AL96" s="426">
        <f t="shared" si="5"/>
        <v>0.55000000000000004</v>
      </c>
      <c r="AM96" s="426">
        <v>0.55000000000000004</v>
      </c>
      <c r="AN96" s="426" t="e">
        <f>#REF!</f>
        <v>#REF!</v>
      </c>
      <c r="AO96" s="426">
        <v>0.55000000000000004</v>
      </c>
      <c r="AP96" s="426">
        <f>AL96</f>
        <v>0.55000000000000004</v>
      </c>
      <c r="AQ96" s="425"/>
      <c r="AR96" s="425"/>
      <c r="AS96" s="425"/>
      <c r="AT96" s="427" t="s">
        <v>187</v>
      </c>
      <c r="AU96" s="428" t="s">
        <v>187</v>
      </c>
      <c r="AV96" s="428" t="s">
        <v>187</v>
      </c>
      <c r="AW96" s="428" t="s">
        <v>187</v>
      </c>
      <c r="AX96" s="680"/>
      <c r="AY96" s="429" t="s">
        <v>187</v>
      </c>
      <c r="AZ96" s="605">
        <v>63</v>
      </c>
      <c r="BA96" s="419">
        <v>0</v>
      </c>
      <c r="BB96" s="419">
        <v>0</v>
      </c>
      <c r="BC96" s="420">
        <v>0</v>
      </c>
      <c r="BD96" s="420">
        <v>0</v>
      </c>
      <c r="BE96" s="420">
        <v>0</v>
      </c>
      <c r="BF96" s="421"/>
      <c r="BG96" s="421"/>
      <c r="BH96" s="422"/>
      <c r="BI96" s="422"/>
      <c r="BJ96" s="422"/>
      <c r="BK96" s="423"/>
      <c r="BL96" s="822"/>
      <c r="BM96" s="335"/>
      <c r="BN96" s="415" t="s">
        <v>355</v>
      </c>
      <c r="BO96" s="415" t="s">
        <v>355</v>
      </c>
      <c r="BP96" s="415" t="s">
        <v>349</v>
      </c>
      <c r="BQ96" s="415" t="s">
        <v>355</v>
      </c>
      <c r="BR96" s="415" t="s">
        <v>355</v>
      </c>
      <c r="BS96" s="805"/>
      <c r="BT96" s="795"/>
      <c r="BU96" s="415" t="s">
        <v>355</v>
      </c>
      <c r="BV96" s="415" t="s">
        <v>355</v>
      </c>
      <c r="BW96" s="415" t="s">
        <v>355</v>
      </c>
      <c r="BX96" s="415" t="s">
        <v>355</v>
      </c>
      <c r="BY96" s="206"/>
      <c r="BZ96" s="415" t="s">
        <v>355</v>
      </c>
      <c r="CA96" s="415" t="s">
        <v>355</v>
      </c>
      <c r="CB96" s="206"/>
      <c r="CC96" s="415" t="s">
        <v>355</v>
      </c>
      <c r="CD96" s="415" t="s">
        <v>355</v>
      </c>
      <c r="CE96" s="206"/>
      <c r="CF96" s="411"/>
      <c r="CG96" s="206"/>
      <c r="CH96" s="411"/>
      <c r="CI96" s="206"/>
      <c r="CJ96" s="337"/>
      <c r="CK96" s="208"/>
      <c r="CL96" s="209" t="s">
        <v>354</v>
      </c>
      <c r="CM96" s="412" t="s">
        <v>349</v>
      </c>
      <c r="CN96" s="210"/>
      <c r="CO96" s="211"/>
      <c r="CP96" s="211"/>
      <c r="CQ96" s="210"/>
      <c r="CR96" s="211"/>
      <c r="CS96" s="211"/>
      <c r="CT96" s="212"/>
      <c r="CU96" s="793"/>
      <c r="CV96" s="212"/>
      <c r="CW96" s="212"/>
    </row>
    <row r="97" spans="1:101" ht="15.6" x14ac:dyDescent="0.3">
      <c r="A97" s="156"/>
      <c r="B97" s="794" t="s">
        <v>513</v>
      </c>
      <c r="C97" s="794"/>
      <c r="D97" s="794"/>
      <c r="E97" s="794"/>
      <c r="F97" s="794"/>
      <c r="G97" s="794"/>
      <c r="H97" s="794"/>
      <c r="I97" s="794"/>
      <c r="J97" s="794"/>
      <c r="K97" s="794"/>
      <c r="L97" s="794"/>
      <c r="M97" s="794"/>
      <c r="N97" s="794"/>
      <c r="O97" s="794"/>
      <c r="P97" s="622"/>
      <c r="Q97" s="622"/>
      <c r="R97" s="622"/>
      <c r="S97" s="208"/>
      <c r="T97" s="208"/>
      <c r="U97" s="208"/>
      <c r="V97" s="208"/>
      <c r="W97" s="208"/>
      <c r="X97" s="208"/>
      <c r="Y97" s="887"/>
      <c r="Z97" s="888"/>
      <c r="AA97" s="888"/>
      <c r="AB97" s="889"/>
      <c r="AC97" s="888"/>
      <c r="AD97" s="622"/>
      <c r="AE97" s="622" t="s">
        <v>514</v>
      </c>
      <c r="AF97" s="622"/>
      <c r="AG97" s="890" t="s">
        <v>187</v>
      </c>
      <c r="AH97" s="890" t="s">
        <v>187</v>
      </c>
      <c r="AI97" s="890" t="s">
        <v>187</v>
      </c>
      <c r="AJ97" s="890" t="s">
        <v>187</v>
      </c>
      <c r="AK97" s="890" t="s">
        <v>187</v>
      </c>
      <c r="AL97" s="890" t="s">
        <v>187</v>
      </c>
      <c r="AM97" s="890" t="s">
        <v>187</v>
      </c>
      <c r="AN97" s="890" t="s">
        <v>187</v>
      </c>
      <c r="AO97" s="890" t="s">
        <v>187</v>
      </c>
      <c r="AP97" s="890" t="s">
        <v>187</v>
      </c>
      <c r="AQ97" s="890"/>
      <c r="AR97" s="890"/>
      <c r="AS97" s="890"/>
      <c r="AT97" s="891">
        <v>5.5</v>
      </c>
      <c r="AU97" s="891">
        <v>5.5</v>
      </c>
      <c r="AV97" s="891">
        <v>5.5</v>
      </c>
      <c r="AW97" s="891">
        <v>5.5</v>
      </c>
      <c r="AX97" s="891"/>
      <c r="AY97" s="891">
        <v>5.5</v>
      </c>
      <c r="AZ97" s="605"/>
      <c r="BA97" s="892"/>
      <c r="BB97" s="892"/>
      <c r="BC97" s="892"/>
      <c r="BD97" s="892"/>
      <c r="BE97" s="892"/>
      <c r="BF97" s="893"/>
      <c r="BG97" s="893"/>
      <c r="BH97" s="893"/>
      <c r="BI97" s="893"/>
      <c r="BJ97" s="893"/>
      <c r="BK97" s="894"/>
      <c r="BL97" s="822"/>
      <c r="BM97" s="335"/>
      <c r="BN97" s="415"/>
      <c r="BO97" s="415"/>
      <c r="BP97" s="415"/>
      <c r="BQ97" s="415"/>
      <c r="BR97" s="895"/>
      <c r="BS97" s="805"/>
      <c r="BT97" s="795"/>
      <c r="BU97" s="415"/>
      <c r="BV97" s="415"/>
      <c r="BW97" s="896"/>
      <c r="BX97" s="415"/>
      <c r="BY97" s="206"/>
      <c r="BZ97" s="896"/>
      <c r="CA97" s="415"/>
      <c r="CB97" s="206"/>
      <c r="CC97" s="896"/>
      <c r="CD97" s="415"/>
      <c r="CE97" s="208"/>
      <c r="CF97" s="411"/>
      <c r="CG97" s="208"/>
      <c r="CH97" s="411"/>
      <c r="CI97" s="208"/>
      <c r="CJ97" s="897"/>
      <c r="CK97" s="208"/>
      <c r="CL97" s="898"/>
      <c r="CM97" s="888"/>
      <c r="CN97" s="470"/>
      <c r="CO97" s="471"/>
      <c r="CP97" s="471"/>
      <c r="CQ97" s="470"/>
      <c r="CR97" s="471"/>
      <c r="CS97" s="211"/>
      <c r="CT97" s="212"/>
      <c r="CU97" s="794"/>
      <c r="CV97" s="212"/>
      <c r="CW97" s="212"/>
    </row>
    <row r="98" spans="1:101" ht="15.6" x14ac:dyDescent="0.3">
      <c r="A98" s="156"/>
      <c r="B98" s="794"/>
      <c r="C98" s="794"/>
      <c r="D98" s="794"/>
      <c r="E98" s="794"/>
      <c r="F98" s="794"/>
      <c r="G98" s="794"/>
      <c r="H98" s="794"/>
      <c r="I98" s="794"/>
      <c r="J98" s="794"/>
      <c r="K98" s="794"/>
      <c r="L98" s="794"/>
      <c r="M98" s="794"/>
      <c r="N98" s="794"/>
      <c r="O98" s="794"/>
      <c r="P98" s="622"/>
      <c r="Q98" s="622"/>
      <c r="R98" s="622"/>
      <c r="S98" s="208"/>
      <c r="T98" s="208"/>
      <c r="U98" s="208"/>
      <c r="V98" s="208"/>
      <c r="W98" s="208"/>
      <c r="X98" s="208"/>
      <c r="Y98" s="887"/>
      <c r="Z98" s="888"/>
      <c r="AA98" s="888"/>
      <c r="AB98" s="889"/>
      <c r="AC98" s="888"/>
      <c r="AD98" s="622"/>
      <c r="AE98" s="622" t="s">
        <v>515</v>
      </c>
      <c r="AF98" s="622"/>
      <c r="AG98" s="890"/>
      <c r="AH98" s="890"/>
      <c r="AI98" s="890"/>
      <c r="AJ98" s="890"/>
      <c r="AK98" s="890"/>
      <c r="AL98" s="890"/>
      <c r="AM98" s="890"/>
      <c r="AN98" s="890"/>
      <c r="AO98" s="890"/>
      <c r="AP98" s="890"/>
      <c r="AQ98" s="890"/>
      <c r="AR98" s="890"/>
      <c r="AS98" s="890"/>
      <c r="AT98" s="891">
        <v>2.1</v>
      </c>
      <c r="AU98" s="891">
        <v>2.1</v>
      </c>
      <c r="AV98" s="891">
        <v>2.1</v>
      </c>
      <c r="AW98" s="891">
        <v>2.1</v>
      </c>
      <c r="AX98" s="891"/>
      <c r="AY98" s="891">
        <v>2.1</v>
      </c>
      <c r="AZ98" s="605"/>
      <c r="BA98" s="892"/>
      <c r="BB98" s="892"/>
      <c r="BC98" s="892"/>
      <c r="BD98" s="892"/>
      <c r="BE98" s="892"/>
      <c r="BF98" s="893"/>
      <c r="BG98" s="893"/>
      <c r="BH98" s="893"/>
      <c r="BI98" s="893"/>
      <c r="BJ98" s="893"/>
      <c r="BK98" s="894"/>
      <c r="BL98" s="822"/>
      <c r="BM98" s="335"/>
      <c r="BN98" s="415"/>
      <c r="BO98" s="415"/>
      <c r="BP98" s="415"/>
      <c r="BQ98" s="415"/>
      <c r="BR98" s="895"/>
      <c r="BS98" s="805"/>
      <c r="BT98" s="795"/>
      <c r="BU98" s="415"/>
      <c r="BV98" s="415"/>
      <c r="BW98" s="896"/>
      <c r="BX98" s="415"/>
      <c r="BY98" s="206"/>
      <c r="BZ98" s="896"/>
      <c r="CA98" s="415"/>
      <c r="CB98" s="206"/>
      <c r="CC98" s="896"/>
      <c r="CD98" s="415"/>
      <c r="CE98" s="208"/>
      <c r="CF98" s="411"/>
      <c r="CG98" s="208"/>
      <c r="CH98" s="411"/>
      <c r="CI98" s="208"/>
      <c r="CJ98" s="897"/>
      <c r="CK98" s="208"/>
      <c r="CL98" s="898"/>
      <c r="CM98" s="888"/>
      <c r="CN98" s="470"/>
      <c r="CO98" s="471"/>
      <c r="CP98" s="471"/>
      <c r="CQ98" s="470"/>
      <c r="CR98" s="471"/>
      <c r="CS98" s="211"/>
      <c r="CT98" s="212"/>
      <c r="CU98" s="794"/>
      <c r="CV98" s="212"/>
      <c r="CW98" s="212"/>
    </row>
    <row r="99" spans="1:101" ht="15.6" x14ac:dyDescent="0.3">
      <c r="A99" s="156"/>
      <c r="B99" s="794"/>
      <c r="C99" s="794"/>
      <c r="D99" s="794"/>
      <c r="E99" s="794"/>
      <c r="F99" s="794"/>
      <c r="G99" s="794"/>
      <c r="H99" s="794"/>
      <c r="I99" s="794"/>
      <c r="J99" s="794"/>
      <c r="K99" s="794"/>
      <c r="L99" s="794"/>
      <c r="M99" s="794"/>
      <c r="N99" s="794"/>
      <c r="O99" s="794"/>
      <c r="P99" s="622"/>
      <c r="Q99" s="622"/>
      <c r="R99" s="622"/>
      <c r="S99" s="208"/>
      <c r="T99" s="208"/>
      <c r="U99" s="208"/>
      <c r="V99" s="208"/>
      <c r="W99" s="208"/>
      <c r="X99" s="208"/>
      <c r="Y99" s="887"/>
      <c r="Z99" s="888"/>
      <c r="AA99" s="888"/>
      <c r="AB99" s="889"/>
      <c r="AC99" s="888"/>
      <c r="AD99" s="622"/>
      <c r="AE99" s="622" t="s">
        <v>516</v>
      </c>
      <c r="AF99" s="622"/>
      <c r="AG99" s="890"/>
      <c r="AH99" s="890"/>
      <c r="AI99" s="890"/>
      <c r="AJ99" s="890"/>
      <c r="AK99" s="890"/>
      <c r="AL99" s="890"/>
      <c r="AM99" s="890"/>
      <c r="AN99" s="890"/>
      <c r="AO99" s="890"/>
      <c r="AP99" s="890"/>
      <c r="AQ99" s="890"/>
      <c r="AR99" s="890"/>
      <c r="AS99" s="890"/>
      <c r="AT99" s="891">
        <v>0.5</v>
      </c>
      <c r="AU99" s="891">
        <v>0.5</v>
      </c>
      <c r="AV99" s="891">
        <v>0.5</v>
      </c>
      <c r="AW99" s="891">
        <v>0.5</v>
      </c>
      <c r="AX99" s="891"/>
      <c r="AY99" s="891">
        <v>0.5</v>
      </c>
      <c r="AZ99" s="605"/>
      <c r="BA99" s="892"/>
      <c r="BB99" s="892"/>
      <c r="BC99" s="892"/>
      <c r="BD99" s="892"/>
      <c r="BE99" s="892"/>
      <c r="BF99" s="893"/>
      <c r="BG99" s="893"/>
      <c r="BH99" s="893"/>
      <c r="BI99" s="893"/>
      <c r="BJ99" s="893"/>
      <c r="BK99" s="894"/>
      <c r="BL99" s="822"/>
      <c r="BM99" s="335"/>
      <c r="BN99" s="415"/>
      <c r="BO99" s="415"/>
      <c r="BP99" s="415"/>
      <c r="BQ99" s="415"/>
      <c r="BR99" s="895"/>
      <c r="BS99" s="805"/>
      <c r="BT99" s="795"/>
      <c r="BU99" s="415"/>
      <c r="BV99" s="415"/>
      <c r="BW99" s="896"/>
      <c r="BX99" s="415"/>
      <c r="BY99" s="206"/>
      <c r="BZ99" s="896"/>
      <c r="CA99" s="415"/>
      <c r="CB99" s="206"/>
      <c r="CC99" s="896"/>
      <c r="CD99" s="415"/>
      <c r="CE99" s="208"/>
      <c r="CF99" s="411"/>
      <c r="CG99" s="208"/>
      <c r="CH99" s="411"/>
      <c r="CI99" s="208"/>
      <c r="CJ99" s="897"/>
      <c r="CK99" s="208"/>
      <c r="CL99" s="898"/>
      <c r="CM99" s="888"/>
      <c r="CN99" s="470"/>
      <c r="CO99" s="471"/>
      <c r="CP99" s="471"/>
      <c r="CQ99" s="470"/>
      <c r="CR99" s="471"/>
      <c r="CS99" s="211"/>
      <c r="CT99" s="212"/>
      <c r="CU99" s="794"/>
      <c r="CV99" s="212"/>
      <c r="CW99" s="212"/>
    </row>
    <row r="100" spans="1:101" ht="15.6" x14ac:dyDescent="0.3">
      <c r="A100" s="156"/>
      <c r="B100" s="794"/>
      <c r="C100" s="794"/>
      <c r="D100" s="794"/>
      <c r="E100" s="794"/>
      <c r="F100" s="794"/>
      <c r="G100" s="794"/>
      <c r="H100" s="794"/>
      <c r="I100" s="794"/>
      <c r="J100" s="794"/>
      <c r="K100" s="794"/>
      <c r="L100" s="794"/>
      <c r="M100" s="794"/>
      <c r="N100" s="794"/>
      <c r="O100" s="794"/>
      <c r="P100" s="622"/>
      <c r="Q100" s="622"/>
      <c r="R100" s="622"/>
      <c r="S100" s="208"/>
      <c r="T100" s="208"/>
      <c r="U100" s="208"/>
      <c r="V100" s="208"/>
      <c r="W100" s="208"/>
      <c r="X100" s="208"/>
      <c r="Y100" s="887"/>
      <c r="Z100" s="888"/>
      <c r="AA100" s="888"/>
      <c r="AB100" s="889"/>
      <c r="AC100" s="888"/>
      <c r="AD100" s="622"/>
      <c r="AE100" s="622" t="s">
        <v>517</v>
      </c>
      <c r="AF100" s="622"/>
      <c r="AG100" s="890"/>
      <c r="AH100" s="890"/>
      <c r="AI100" s="890"/>
      <c r="AJ100" s="890"/>
      <c r="AK100" s="890"/>
      <c r="AL100" s="890"/>
      <c r="AM100" s="890"/>
      <c r="AN100" s="890"/>
      <c r="AO100" s="890"/>
      <c r="AP100" s="890"/>
      <c r="AQ100" s="890"/>
      <c r="AR100" s="890"/>
      <c r="AS100" s="890"/>
      <c r="AT100" s="891">
        <v>0.46200000000000002</v>
      </c>
      <c r="AU100" s="891">
        <v>0.46200000000000002</v>
      </c>
      <c r="AV100" s="891">
        <v>0.46200000000000002</v>
      </c>
      <c r="AW100" s="891">
        <v>0.46200000000000002</v>
      </c>
      <c r="AX100" s="891"/>
      <c r="AY100" s="891">
        <v>0.46200000000000002</v>
      </c>
      <c r="AZ100" s="605"/>
      <c r="BA100" s="892"/>
      <c r="BB100" s="892"/>
      <c r="BC100" s="892"/>
      <c r="BD100" s="892"/>
      <c r="BE100" s="892"/>
      <c r="BF100" s="893"/>
      <c r="BG100" s="893"/>
      <c r="BH100" s="893"/>
      <c r="BI100" s="893"/>
      <c r="BJ100" s="893"/>
      <c r="BK100" s="894"/>
      <c r="BL100" s="822"/>
      <c r="BM100" s="335"/>
      <c r="BN100" s="415"/>
      <c r="BO100" s="415"/>
      <c r="BP100" s="415"/>
      <c r="BQ100" s="415"/>
      <c r="BR100" s="895"/>
      <c r="BS100" s="805"/>
      <c r="BT100" s="795"/>
      <c r="BU100" s="415"/>
      <c r="BV100" s="415"/>
      <c r="BW100" s="896"/>
      <c r="BX100" s="415"/>
      <c r="BY100" s="206"/>
      <c r="BZ100" s="896"/>
      <c r="CA100" s="415"/>
      <c r="CB100" s="206"/>
      <c r="CC100" s="896"/>
      <c r="CD100" s="415"/>
      <c r="CE100" s="208"/>
      <c r="CF100" s="411"/>
      <c r="CG100" s="208"/>
      <c r="CH100" s="411"/>
      <c r="CI100" s="208"/>
      <c r="CJ100" s="897"/>
      <c r="CK100" s="208"/>
      <c r="CL100" s="898"/>
      <c r="CM100" s="888"/>
      <c r="CN100" s="470"/>
      <c r="CO100" s="471"/>
      <c r="CP100" s="471"/>
      <c r="CQ100" s="470"/>
      <c r="CR100" s="471"/>
      <c r="CS100" s="211"/>
      <c r="CT100" s="212"/>
      <c r="CU100" s="794"/>
      <c r="CV100" s="212"/>
      <c r="CW100" s="212"/>
    </row>
    <row r="101" spans="1:101" ht="15.6" x14ac:dyDescent="0.3">
      <c r="A101" s="156"/>
      <c r="B101" s="794"/>
      <c r="C101" s="794"/>
      <c r="D101" s="794"/>
      <c r="E101" s="794"/>
      <c r="F101" s="794"/>
      <c r="G101" s="794"/>
      <c r="H101" s="794"/>
      <c r="I101" s="794"/>
      <c r="J101" s="794"/>
      <c r="K101" s="794"/>
      <c r="L101" s="794"/>
      <c r="M101" s="794"/>
      <c r="N101" s="794"/>
      <c r="O101" s="794"/>
      <c r="P101" s="622"/>
      <c r="Q101" s="622"/>
      <c r="R101" s="622"/>
      <c r="S101" s="208"/>
      <c r="T101" s="208"/>
      <c r="U101" s="208"/>
      <c r="V101" s="208"/>
      <c r="W101" s="208"/>
      <c r="X101" s="208"/>
      <c r="Y101" s="887"/>
      <c r="Z101" s="888"/>
      <c r="AA101" s="888"/>
      <c r="AB101" s="889"/>
      <c r="AC101" s="888"/>
      <c r="AD101" s="622"/>
      <c r="AE101" s="622" t="s">
        <v>518</v>
      </c>
      <c r="AF101" s="622"/>
      <c r="AG101" s="890"/>
      <c r="AH101" s="890"/>
      <c r="AI101" s="890"/>
      <c r="AJ101" s="890"/>
      <c r="AK101" s="890"/>
      <c r="AL101" s="890"/>
      <c r="AM101" s="890"/>
      <c r="AN101" s="890"/>
      <c r="AO101" s="890"/>
      <c r="AP101" s="890"/>
      <c r="AQ101" s="890"/>
      <c r="AR101" s="890"/>
      <c r="AS101" s="890"/>
      <c r="AT101" s="891"/>
      <c r="AU101" s="891"/>
      <c r="AV101" s="891"/>
      <c r="AW101" s="891"/>
      <c r="AX101" s="891"/>
      <c r="AY101" s="891"/>
      <c r="AZ101" s="605"/>
      <c r="BA101" s="892"/>
      <c r="BB101" s="892"/>
      <c r="BC101" s="892"/>
      <c r="BD101" s="892"/>
      <c r="BE101" s="892"/>
      <c r="BF101" s="893"/>
      <c r="BG101" s="893"/>
      <c r="BH101" s="893"/>
      <c r="BI101" s="893"/>
      <c r="BJ101" s="893"/>
      <c r="BK101" s="894"/>
      <c r="BL101" s="822"/>
      <c r="BM101" s="335"/>
      <c r="BN101" s="415"/>
      <c r="BO101" s="415"/>
      <c r="BP101" s="415"/>
      <c r="BQ101" s="415"/>
      <c r="BR101" s="895"/>
      <c r="BS101" s="805"/>
      <c r="BT101" s="795"/>
      <c r="BU101" s="415"/>
      <c r="BV101" s="415"/>
      <c r="BW101" s="896"/>
      <c r="BX101" s="415"/>
      <c r="BY101" s="206"/>
      <c r="BZ101" s="896"/>
      <c r="CA101" s="415"/>
      <c r="CB101" s="206"/>
      <c r="CC101" s="896"/>
      <c r="CD101" s="415"/>
      <c r="CE101" s="208"/>
      <c r="CF101" s="411"/>
      <c r="CG101" s="208"/>
      <c r="CH101" s="411"/>
      <c r="CI101" s="208"/>
      <c r="CJ101" s="897"/>
      <c r="CK101" s="208"/>
      <c r="CL101" s="898"/>
      <c r="CM101" s="888"/>
      <c r="CN101" s="470"/>
      <c r="CO101" s="471"/>
      <c r="CP101" s="471"/>
      <c r="CQ101" s="470"/>
      <c r="CR101" s="471"/>
      <c r="CS101" s="211"/>
      <c r="CT101" s="212"/>
      <c r="CU101" s="794"/>
      <c r="CV101" s="212"/>
      <c r="CW101" s="212"/>
    </row>
    <row r="102" spans="1:101" ht="15.6" x14ac:dyDescent="0.3">
      <c r="A102" s="156"/>
      <c r="B102" s="794"/>
      <c r="C102" s="794"/>
      <c r="D102" s="794"/>
      <c r="E102" s="794"/>
      <c r="F102" s="794"/>
      <c r="G102" s="794"/>
      <c r="H102" s="794"/>
      <c r="I102" s="794"/>
      <c r="J102" s="794"/>
      <c r="K102" s="794"/>
      <c r="L102" s="794"/>
      <c r="M102" s="794"/>
      <c r="N102" s="794"/>
      <c r="O102" s="794"/>
      <c r="P102" s="622"/>
      <c r="Q102" s="622"/>
      <c r="R102" s="622"/>
      <c r="S102" s="208"/>
      <c r="T102" s="208"/>
      <c r="U102" s="208"/>
      <c r="V102" s="208"/>
      <c r="W102" s="208"/>
      <c r="X102" s="208"/>
      <c r="Y102" s="887"/>
      <c r="Z102" s="888"/>
      <c r="AA102" s="888"/>
      <c r="AB102" s="889"/>
      <c r="AC102" s="888"/>
      <c r="AD102" s="622"/>
      <c r="AE102" s="622" t="s">
        <v>519</v>
      </c>
      <c r="AF102" s="622"/>
      <c r="AG102" s="890"/>
      <c r="AH102" s="890"/>
      <c r="AI102" s="890"/>
      <c r="AJ102" s="890"/>
      <c r="AK102" s="890"/>
      <c r="AL102" s="890"/>
      <c r="AM102" s="890"/>
      <c r="AN102" s="890"/>
      <c r="AO102" s="890"/>
      <c r="AP102" s="890"/>
      <c r="AQ102" s="890"/>
      <c r="AR102" s="890"/>
      <c r="AS102" s="890"/>
      <c r="AT102" s="891"/>
      <c r="AU102" s="891"/>
      <c r="AV102" s="891"/>
      <c r="AW102" s="891"/>
      <c r="AX102" s="891"/>
      <c r="AY102" s="891"/>
      <c r="AZ102" s="605"/>
      <c r="BA102" s="892"/>
      <c r="BB102" s="892"/>
      <c r="BC102" s="892"/>
      <c r="BD102" s="892"/>
      <c r="BE102" s="892"/>
      <c r="BF102" s="893"/>
      <c r="BG102" s="893"/>
      <c r="BH102" s="893"/>
      <c r="BI102" s="893"/>
      <c r="BJ102" s="893"/>
      <c r="BK102" s="894"/>
      <c r="BL102" s="822"/>
      <c r="BM102" s="335"/>
      <c r="BN102" s="415"/>
      <c r="BO102" s="415"/>
      <c r="BP102" s="415"/>
      <c r="BQ102" s="415"/>
      <c r="BR102" s="895"/>
      <c r="BS102" s="805"/>
      <c r="BT102" s="795"/>
      <c r="BU102" s="415"/>
      <c r="BV102" s="415"/>
      <c r="BW102" s="896"/>
      <c r="BX102" s="415"/>
      <c r="BY102" s="206"/>
      <c r="BZ102" s="896"/>
      <c r="CA102" s="415"/>
      <c r="CB102" s="206"/>
      <c r="CC102" s="896"/>
      <c r="CD102" s="415"/>
      <c r="CE102" s="208"/>
      <c r="CF102" s="411"/>
      <c r="CG102" s="208"/>
      <c r="CH102" s="411"/>
      <c r="CI102" s="208"/>
      <c r="CJ102" s="897"/>
      <c r="CK102" s="208"/>
      <c r="CL102" s="898"/>
      <c r="CM102" s="888"/>
      <c r="CN102" s="470"/>
      <c r="CO102" s="471"/>
      <c r="CP102" s="471"/>
      <c r="CQ102" s="470"/>
      <c r="CR102" s="471"/>
      <c r="CS102" s="211"/>
      <c r="CT102" s="212"/>
      <c r="CU102" s="794"/>
      <c r="CV102" s="212"/>
      <c r="CW102" s="212"/>
    </row>
    <row r="103" spans="1:101" x14ac:dyDescent="0.3">
      <c r="A103" s="157"/>
      <c r="B103" s="430"/>
      <c r="C103" s="430"/>
      <c r="D103" s="430"/>
      <c r="E103" s="431"/>
      <c r="F103" s="431"/>
      <c r="G103" s="431"/>
      <c r="H103" s="431"/>
      <c r="I103" s="431"/>
      <c r="J103" s="431"/>
      <c r="K103" s="431"/>
      <c r="L103" s="431"/>
      <c r="M103" s="431"/>
      <c r="N103" s="431"/>
      <c r="O103" s="431"/>
      <c r="P103" s="431"/>
      <c r="Q103" s="431"/>
      <c r="R103" s="432"/>
      <c r="S103" s="431"/>
      <c r="T103" s="431"/>
      <c r="U103" s="431"/>
      <c r="V103" s="431"/>
      <c r="W103" s="431"/>
      <c r="X103" s="431"/>
      <c r="Y103" s="431"/>
      <c r="Z103" s="431"/>
      <c r="AA103" s="431"/>
      <c r="AB103" s="431"/>
      <c r="AC103" s="431"/>
      <c r="AD103" s="432"/>
      <c r="AE103" s="432"/>
      <c r="AF103" s="432"/>
      <c r="AG103" s="431" t="s">
        <v>431</v>
      </c>
      <c r="AH103" s="431" t="s">
        <v>431</v>
      </c>
      <c r="AI103" s="431" t="s">
        <v>431</v>
      </c>
      <c r="AJ103" s="431" t="s">
        <v>431</v>
      </c>
      <c r="AK103" s="431" t="s">
        <v>431</v>
      </c>
      <c r="AL103" s="431" t="s">
        <v>431</v>
      </c>
      <c r="AM103" s="431" t="s">
        <v>431</v>
      </c>
      <c r="AN103" s="431" t="s">
        <v>431</v>
      </c>
      <c r="AO103" s="431" t="s">
        <v>431</v>
      </c>
      <c r="AP103" s="431" t="s">
        <v>431</v>
      </c>
      <c r="AQ103" s="431" t="s">
        <v>416</v>
      </c>
      <c r="AR103" s="431" t="s">
        <v>416</v>
      </c>
      <c r="AS103" s="431" t="s">
        <v>416</v>
      </c>
      <c r="AT103" s="431" t="s">
        <v>417</v>
      </c>
      <c r="AU103" s="431" t="s">
        <v>417</v>
      </c>
      <c r="AV103" s="431" t="s">
        <v>417</v>
      </c>
      <c r="AW103" s="431" t="s">
        <v>417</v>
      </c>
      <c r="AX103" s="431" t="s">
        <v>417</v>
      </c>
      <c r="AY103" s="431" t="s">
        <v>417</v>
      </c>
      <c r="AZ103" s="431"/>
      <c r="BA103" s="431"/>
      <c r="BB103" s="431"/>
      <c r="BC103" s="431"/>
      <c r="BD103" s="431"/>
      <c r="BE103" s="431"/>
      <c r="BF103" s="431"/>
      <c r="BG103" s="431"/>
      <c r="BH103" s="431"/>
      <c r="BI103" s="431"/>
      <c r="BJ103" s="433" t="s">
        <v>356</v>
      </c>
      <c r="BK103" s="434">
        <f>COUNTA(BM7:BM93)</f>
        <v>14</v>
      </c>
      <c r="BL103" s="435">
        <f>COUNTA(BN6:BN93)-COUNTIF(BN6:BN93,"(*")-COUNTIF(BN6:BN93,"LDO*")</f>
        <v>13</v>
      </c>
      <c r="BM103" s="434">
        <f>COUNTA(BO7:BO93)</f>
        <v>14</v>
      </c>
      <c r="BN103" s="434">
        <f>COUNTA(BP7:BP93)</f>
        <v>14</v>
      </c>
      <c r="BO103" s="435">
        <f>COUNTA(BQ6:BQ93)-COUNTIF(BQ6:BQ93,"(*")-COUNTIF(BQ6:BQ93,"LDO*")</f>
        <v>13</v>
      </c>
      <c r="BP103" s="435">
        <f>COUNTA(BR6:BR93)-COUNTIF(BR6:BR93,"(*")-COUNTIF(BR6:BR93,"LDO*")</f>
        <v>11</v>
      </c>
      <c r="BQ103" s="434">
        <f>COUNTA(BS7:BS93)</f>
        <v>9</v>
      </c>
      <c r="BR103" s="436"/>
      <c r="BS103" s="435">
        <f>COUNTA(BU6:BU93)-COUNTIF(BU6:BU93,"(*")-COUNTIF(BU6:BU93,"LDO*")</f>
        <v>11</v>
      </c>
      <c r="BT103" s="434">
        <f>COUNTA(BV7:BV93)</f>
        <v>20</v>
      </c>
      <c r="BU103" s="435">
        <f>COUNTA(BW6:BW93)-COUNTIF(BW6:BW93,"(*")-COUNTIF(BW6:BW93,"LDO*")</f>
        <v>11</v>
      </c>
      <c r="BV103" s="435">
        <f>COUNTA(BX6:BX93)-COUNTIF(BX6:BX93,"(*")-COUNTIF(BX6:BX93,"LDO*")</f>
        <v>9</v>
      </c>
      <c r="BW103" s="208"/>
      <c r="BX103" s="435">
        <f>COUNTA(BZ6:BZ93)-COUNTIF(BZ6:BZ93,"(*")-COUNTIF(BZ6:BZ93,"LDO*")</f>
        <v>10</v>
      </c>
      <c r="BY103" s="435">
        <f>COUNTA(CA6:CA93)-COUNTIF(CA6:CA93,"(*")-COUNTIF(CA6:CA93,"LDO*")</f>
        <v>11</v>
      </c>
      <c r="BZ103" s="208"/>
      <c r="CA103" s="435">
        <f>COUNTA(CC6:CC93)-COUNTIF(CC6:CC93,"(*")-COUNTIF(CC6:CC93,"LDO*")</f>
        <v>10</v>
      </c>
      <c r="CB103" s="435">
        <f>COUNTA(CD6:CD93)-COUNTIF(CD6:CD93,"(*")-COUNTIF(CD6:CD93,"LDO*")</f>
        <v>11</v>
      </c>
      <c r="CC103" s="208"/>
      <c r="CD103" s="435">
        <f>COUNTA(CF6:CF93)-COUNTIF(CF6:CF93,"(*")-COUNTIF(CF6:CF93,"LDO*")</f>
        <v>10</v>
      </c>
      <c r="CE103" s="208"/>
      <c r="CF103" s="435">
        <f>COUNTA(CH6:CH93)-COUNTIF(CH6:CH93,"(*")-COUNTIF(CH6:CH93,"LDO*")</f>
        <v>10</v>
      </c>
      <c r="CG103" s="208"/>
      <c r="CH103" s="434">
        <f>COUNTA(CJ7:CJ93)</f>
        <v>14</v>
      </c>
      <c r="CI103" s="208"/>
      <c r="CJ103" s="431"/>
      <c r="CK103" s="434">
        <f>COUNTA(CM7:CM93)</f>
        <v>11</v>
      </c>
      <c r="CL103" s="437"/>
      <c r="CM103" s="437"/>
      <c r="CN103" s="437"/>
      <c r="CO103" s="437"/>
      <c r="CP103" s="437"/>
      <c r="CQ103" s="437"/>
      <c r="CR103" s="244"/>
      <c r="CS103" s="434"/>
      <c r="CT103" s="434"/>
      <c r="CU103" s="244"/>
      <c r="CV103" s="128"/>
      <c r="CW103" s="128"/>
    </row>
    <row r="104" spans="1:101" x14ac:dyDescent="0.3">
      <c r="A104" s="157"/>
      <c r="B104" s="157"/>
      <c r="C104" s="157"/>
      <c r="D104" s="157"/>
      <c r="E104" s="438"/>
      <c r="F104" s="438"/>
      <c r="G104" s="438"/>
      <c r="H104" s="438"/>
      <c r="I104" s="438"/>
      <c r="J104" s="438"/>
      <c r="K104" s="438"/>
      <c r="L104" s="438"/>
      <c r="M104" s="438"/>
      <c r="N104" s="438"/>
      <c r="O104" s="438"/>
      <c r="P104" s="157"/>
      <c r="Q104" s="157"/>
      <c r="R104" s="439"/>
      <c r="S104" s="431"/>
      <c r="T104" s="431"/>
      <c r="U104" s="431"/>
      <c r="V104" s="431"/>
      <c r="W104" s="431"/>
      <c r="X104" s="431"/>
      <c r="Y104" s="431"/>
      <c r="Z104" s="431"/>
      <c r="AA104" s="431"/>
      <c r="AB104" s="431"/>
      <c r="AC104" s="431"/>
      <c r="AD104" s="439"/>
      <c r="AE104" s="439"/>
      <c r="AF104" s="439"/>
      <c r="AG104" s="431"/>
      <c r="AH104" s="431"/>
      <c r="AI104" s="431"/>
      <c r="AJ104" s="431"/>
      <c r="AK104" s="431"/>
      <c r="AL104" s="431"/>
      <c r="AM104" s="431"/>
      <c r="AN104" s="431"/>
      <c r="AO104" s="431"/>
      <c r="AP104" s="431"/>
      <c r="AQ104" s="431"/>
      <c r="AR104" s="431"/>
      <c r="AS104" s="431"/>
      <c r="AT104" s="431"/>
      <c r="AU104" s="431"/>
      <c r="AV104" s="431"/>
      <c r="AW104" s="431"/>
      <c r="AX104" s="431"/>
      <c r="AY104" s="431"/>
      <c r="AZ104" s="431"/>
      <c r="BA104" s="431"/>
      <c r="BB104" s="431"/>
      <c r="BC104" s="431"/>
      <c r="BD104" s="431"/>
      <c r="BE104" s="431"/>
      <c r="BF104" s="431"/>
      <c r="BG104" s="431"/>
      <c r="BH104" s="431"/>
      <c r="BI104" s="431"/>
      <c r="BJ104" s="157"/>
      <c r="BK104" s="157"/>
      <c r="BL104" s="157"/>
      <c r="BM104" s="157"/>
      <c r="BN104" s="157"/>
      <c r="BO104" s="157"/>
      <c r="BP104" s="157"/>
      <c r="BQ104" s="157"/>
      <c r="BR104" s="159"/>
      <c r="BS104" s="157"/>
      <c r="BT104" s="157"/>
      <c r="BU104" s="157"/>
      <c r="BV104" s="157"/>
      <c r="BW104" s="159"/>
      <c r="BX104" s="157"/>
      <c r="BY104" s="157"/>
      <c r="BZ104" s="159"/>
      <c r="CA104" s="157"/>
      <c r="CB104" s="157"/>
      <c r="CC104" s="159"/>
      <c r="CD104" s="157"/>
      <c r="CE104" s="159"/>
      <c r="CF104" s="157"/>
      <c r="CG104" s="159"/>
      <c r="CH104" s="157"/>
      <c r="CI104" s="159"/>
      <c r="CJ104" s="157"/>
      <c r="CK104" s="157"/>
      <c r="CL104" s="157"/>
      <c r="CM104" s="157"/>
      <c r="CN104" s="157"/>
      <c r="CO104" s="157"/>
      <c r="CP104" s="157"/>
      <c r="CQ104" s="157"/>
      <c r="CR104" s="128"/>
      <c r="CS104" s="438"/>
      <c r="CT104" s="128"/>
      <c r="CU104" s="128"/>
      <c r="CV104" s="128"/>
      <c r="CW104" s="128"/>
    </row>
    <row r="105" spans="1:101" x14ac:dyDescent="0.3">
      <c r="A105" s="128"/>
      <c r="B105" s="128"/>
      <c r="C105" s="128"/>
      <c r="D105" s="128"/>
      <c r="E105" s="817"/>
      <c r="F105" s="817"/>
      <c r="G105" s="817"/>
      <c r="H105" s="817"/>
      <c r="I105" s="817"/>
      <c r="J105" s="817"/>
      <c r="K105" s="817"/>
      <c r="L105" s="817"/>
      <c r="M105" s="817"/>
      <c r="N105" s="817"/>
      <c r="O105" s="817"/>
      <c r="P105" s="128"/>
      <c r="Q105" s="128"/>
      <c r="R105" s="440"/>
      <c r="S105" s="431"/>
      <c r="T105" s="431"/>
      <c r="U105" s="431"/>
      <c r="V105" s="431"/>
      <c r="W105" s="431"/>
      <c r="X105" s="431"/>
      <c r="Y105" s="431"/>
      <c r="Z105" s="431"/>
      <c r="AA105" s="431"/>
      <c r="AB105" s="431"/>
      <c r="AC105" s="431"/>
      <c r="AD105" s="440"/>
      <c r="AE105" s="440"/>
      <c r="AF105" s="440"/>
      <c r="AG105" s="133"/>
      <c r="AH105" s="133"/>
      <c r="AI105" s="133"/>
      <c r="AJ105" s="133"/>
      <c r="AK105" s="133"/>
      <c r="AL105" s="133"/>
      <c r="AM105" s="133"/>
      <c r="AN105" s="133"/>
      <c r="AO105" s="133"/>
      <c r="AP105" s="133"/>
      <c r="AQ105" s="133"/>
      <c r="AR105" s="133"/>
      <c r="AS105" s="133"/>
      <c r="AT105" s="133"/>
      <c r="AU105" s="133"/>
      <c r="AV105" s="133"/>
      <c r="AW105" s="133"/>
      <c r="AX105" s="133"/>
      <c r="AZ105" s="133"/>
      <c r="BA105" s="133"/>
      <c r="BB105" s="133"/>
      <c r="BC105" s="133"/>
      <c r="BD105" s="133"/>
      <c r="BE105" s="133"/>
      <c r="BF105" s="133"/>
      <c r="BG105" s="133"/>
      <c r="BH105" s="133"/>
      <c r="BI105" s="133"/>
      <c r="BJ105" s="128"/>
      <c r="BK105" s="128"/>
      <c r="BL105" s="128"/>
      <c r="BM105" s="128"/>
      <c r="BN105" s="128"/>
      <c r="BO105" s="128"/>
      <c r="BP105" s="128"/>
      <c r="BQ105" s="128"/>
      <c r="BS105" s="128"/>
      <c r="BT105" s="128"/>
      <c r="BU105" s="128"/>
      <c r="BV105" s="128"/>
      <c r="BW105" s="35"/>
      <c r="BX105" s="128"/>
      <c r="BY105" s="128"/>
      <c r="CA105" s="128"/>
      <c r="CB105" s="128"/>
      <c r="CC105" s="35"/>
      <c r="CD105" s="128"/>
      <c r="CE105" s="35"/>
      <c r="CF105" s="128"/>
      <c r="CG105" s="35"/>
      <c r="CH105" s="128"/>
      <c r="CI105" s="35"/>
      <c r="CJ105" s="128"/>
      <c r="CK105" s="128"/>
      <c r="CL105" s="128"/>
      <c r="CM105" s="128"/>
      <c r="CN105" s="128"/>
      <c r="CO105" s="128"/>
      <c r="CP105" s="128"/>
      <c r="CQ105" s="128"/>
      <c r="CR105" s="128"/>
      <c r="CS105" s="817"/>
      <c r="CT105" s="128"/>
      <c r="CU105" s="128"/>
      <c r="CV105" s="128"/>
      <c r="CW105" s="128"/>
    </row>
    <row r="106" spans="1:101" x14ac:dyDescent="0.3">
      <c r="A106" s="128"/>
      <c r="B106" s="128"/>
      <c r="C106" s="128"/>
      <c r="D106" s="128"/>
      <c r="E106" s="817"/>
      <c r="F106" s="817"/>
      <c r="G106" s="817"/>
      <c r="H106" s="817"/>
      <c r="I106" s="817"/>
      <c r="J106" s="817"/>
      <c r="K106" s="817"/>
      <c r="L106" s="817"/>
      <c r="M106" s="817"/>
      <c r="N106" s="817"/>
      <c r="O106" s="817"/>
      <c r="P106" s="128"/>
      <c r="Q106" s="128"/>
      <c r="R106" s="440"/>
      <c r="S106" s="431"/>
      <c r="T106" s="431"/>
      <c r="U106" s="431"/>
      <c r="V106" s="431"/>
      <c r="W106" s="431"/>
      <c r="X106" s="431"/>
      <c r="Y106" s="431"/>
      <c r="Z106" s="431"/>
      <c r="AA106" s="431"/>
      <c r="AB106" s="431"/>
      <c r="AC106" s="431"/>
      <c r="AD106" s="440"/>
      <c r="AE106" s="440"/>
      <c r="AF106" s="440"/>
      <c r="AG106" s="133"/>
      <c r="AH106" s="133"/>
      <c r="AI106" s="133"/>
      <c r="AJ106" s="133"/>
      <c r="AK106" s="133"/>
      <c r="AL106" s="133"/>
      <c r="AM106" s="133"/>
      <c r="AN106" s="133"/>
      <c r="AO106" s="133"/>
      <c r="AP106" s="133"/>
      <c r="AQ106" s="133"/>
      <c r="AR106" s="133"/>
      <c r="AS106" s="133"/>
      <c r="AT106" s="133"/>
      <c r="AU106" s="133"/>
      <c r="AV106" s="133"/>
      <c r="AW106" s="133"/>
      <c r="AX106" s="133"/>
      <c r="AZ106" s="133"/>
      <c r="BA106" s="133"/>
      <c r="BB106" s="133"/>
      <c r="BC106" s="133"/>
      <c r="BD106" s="133"/>
      <c r="BE106" s="133"/>
      <c r="BF106" s="133"/>
      <c r="BG106" s="133"/>
      <c r="BH106" s="133"/>
      <c r="BI106" s="133"/>
      <c r="BJ106" s="128"/>
      <c r="BK106" s="128"/>
      <c r="BL106" s="128"/>
      <c r="BM106" s="128"/>
      <c r="BN106" s="128"/>
      <c r="BO106" s="128"/>
      <c r="BP106" s="128"/>
      <c r="BQ106" s="128"/>
      <c r="BS106" s="128"/>
      <c r="BT106" s="128"/>
      <c r="BU106" s="128"/>
      <c r="BV106" s="128"/>
      <c r="BW106" s="35"/>
      <c r="BX106" s="128"/>
      <c r="BY106" s="128"/>
      <c r="CA106" s="128"/>
      <c r="CB106" s="128"/>
      <c r="CC106" s="35"/>
      <c r="CD106" s="128"/>
      <c r="CE106" s="35"/>
      <c r="CF106" s="128"/>
      <c r="CG106" s="35"/>
      <c r="CH106" s="128"/>
      <c r="CI106" s="35"/>
      <c r="CJ106" s="128"/>
      <c r="CK106" s="128"/>
      <c r="CL106" s="128"/>
      <c r="CM106" s="128"/>
      <c r="CN106" s="128"/>
      <c r="CO106" s="128"/>
      <c r="CP106" s="128"/>
      <c r="CQ106" s="128"/>
      <c r="CR106" s="128"/>
      <c r="CS106" s="817"/>
      <c r="CT106" s="128"/>
      <c r="CU106" s="128"/>
      <c r="CV106" s="128"/>
      <c r="CW106" s="128"/>
    </row>
    <row r="107" spans="1:101" x14ac:dyDescent="0.3">
      <c r="R107" s="153"/>
      <c r="AD107" s="153"/>
      <c r="AE107" s="153"/>
      <c r="AF107" s="153"/>
      <c r="BW107" s="35"/>
      <c r="CC107" s="35"/>
      <c r="CE107" s="35"/>
      <c r="CG107" s="35"/>
      <c r="CI107" s="35"/>
    </row>
    <row r="108" spans="1:101" x14ac:dyDescent="0.3">
      <c r="R108" s="153"/>
      <c r="AD108" s="153"/>
      <c r="AE108" s="153"/>
      <c r="AF108" s="153"/>
      <c r="BW108" s="35"/>
      <c r="CC108" s="35"/>
      <c r="CE108" s="35"/>
      <c r="CG108" s="35"/>
      <c r="CI108" s="35"/>
    </row>
    <row r="109" spans="1:101" x14ac:dyDescent="0.3">
      <c r="R109" s="153"/>
      <c r="AD109" s="153"/>
      <c r="AE109" s="153"/>
      <c r="AF109" s="153"/>
    </row>
    <row r="110" spans="1:101" x14ac:dyDescent="0.3">
      <c r="R110" s="153"/>
      <c r="AD110" s="153"/>
      <c r="AE110" s="153"/>
      <c r="AF110" s="153"/>
    </row>
    <row r="111" spans="1:101" x14ac:dyDescent="0.3">
      <c r="R111" s="153"/>
      <c r="AD111" s="153"/>
      <c r="AE111" s="153"/>
      <c r="AF111" s="153"/>
    </row>
    <row r="112" spans="1:101" x14ac:dyDescent="0.3">
      <c r="R112" s="153"/>
      <c r="AD112" s="153"/>
      <c r="AE112" s="153"/>
      <c r="AF112" s="153"/>
    </row>
    <row r="113" spans="18:32" x14ac:dyDescent="0.3">
      <c r="R113" s="153"/>
      <c r="AD113" s="153"/>
      <c r="AE113" s="153"/>
      <c r="AF113" s="153"/>
    </row>
    <row r="114" spans="18:32" x14ac:dyDescent="0.3">
      <c r="R114" s="153"/>
      <c r="AD114" s="153"/>
      <c r="AE114" s="153"/>
      <c r="AF114" s="153"/>
    </row>
    <row r="115" spans="18:32" x14ac:dyDescent="0.3">
      <c r="R115" s="153"/>
      <c r="AD115" s="153"/>
      <c r="AE115" s="153"/>
      <c r="AF115" s="153"/>
    </row>
  </sheetData>
  <autoFilter ref="Z5:AC95" xr:uid="{00000000-0009-0000-0000-000002000000}"/>
  <mergeCells count="328">
    <mergeCell ref="B91:B92"/>
    <mergeCell ref="BC90:BC91"/>
    <mergeCell ref="BD90:BD91"/>
    <mergeCell ref="BE90:BE91"/>
    <mergeCell ref="BF90:BF91"/>
    <mergeCell ref="BG90:BG91"/>
    <mergeCell ref="BH90:BH91"/>
    <mergeCell ref="CS88:CS90"/>
    <mergeCell ref="AT90:AT91"/>
    <mergeCell ref="AU90:AU91"/>
    <mergeCell ref="AV90:AV91"/>
    <mergeCell ref="CM88:CM90"/>
    <mergeCell ref="CN88:CN90"/>
    <mergeCell ref="CO88:CO90"/>
    <mergeCell ref="CP88:CP90"/>
    <mergeCell ref="CQ88:CQ90"/>
    <mergeCell ref="CR88:CR90"/>
    <mergeCell ref="CA88:CA90"/>
    <mergeCell ref="CC88:CC90"/>
    <mergeCell ref="CD88:CD90"/>
    <mergeCell ref="CF88:CF90"/>
    <mergeCell ref="CH88:CH90"/>
    <mergeCell ref="CL88:CL90"/>
    <mergeCell ref="BR88:BR90"/>
    <mergeCell ref="BU88:BU90"/>
    <mergeCell ref="BV88:BV90"/>
    <mergeCell ref="BW88:BW90"/>
    <mergeCell ref="BX88:BX90"/>
    <mergeCell ref="BZ88:BZ90"/>
    <mergeCell ref="BI88:BI89"/>
    <mergeCell ref="BJ88:BJ89"/>
    <mergeCell ref="BK88:BK89"/>
    <mergeCell ref="BN88:BN90"/>
    <mergeCell ref="BO88:BO90"/>
    <mergeCell ref="BQ88:BQ90"/>
    <mergeCell ref="BI90:BI91"/>
    <mergeCell ref="BJ90:BJ91"/>
    <mergeCell ref="BK90:BK91"/>
    <mergeCell ref="BC88:BC89"/>
    <mergeCell ref="BD88:BD89"/>
    <mergeCell ref="BE88:BE89"/>
    <mergeCell ref="BF88:BF89"/>
    <mergeCell ref="BG88:BG89"/>
    <mergeCell ref="BH88:BH89"/>
    <mergeCell ref="J88:J90"/>
    <mergeCell ref="N88:N90"/>
    <mergeCell ref="O88:O90"/>
    <mergeCell ref="P88:P90"/>
    <mergeCell ref="BA88:BA89"/>
    <mergeCell ref="BB88:BB89"/>
    <mergeCell ref="AW90:AW91"/>
    <mergeCell ref="AY90:AY91"/>
    <mergeCell ref="BA90:BA91"/>
    <mergeCell ref="BB90:BB91"/>
    <mergeCell ref="CF79:CF87"/>
    <mergeCell ref="CH79:CH87"/>
    <mergeCell ref="B88:B90"/>
    <mergeCell ref="C88:C90"/>
    <mergeCell ref="D88:D90"/>
    <mergeCell ref="E88:E90"/>
    <mergeCell ref="F88:F90"/>
    <mergeCell ref="G88:G90"/>
    <mergeCell ref="H88:H90"/>
    <mergeCell ref="I88:I90"/>
    <mergeCell ref="BW79:BW87"/>
    <mergeCell ref="BX79:BX87"/>
    <mergeCell ref="BZ79:BZ87"/>
    <mergeCell ref="CA79:CA87"/>
    <mergeCell ref="CC79:CC87"/>
    <mergeCell ref="CD79:CD87"/>
    <mergeCell ref="Q79:Q87"/>
    <mergeCell ref="BN79:BN87"/>
    <mergeCell ref="BO79:BO87"/>
    <mergeCell ref="BQ79:BQ87"/>
    <mergeCell ref="BR79:BR87"/>
    <mergeCell ref="BU79:BU87"/>
    <mergeCell ref="H79:H87"/>
    <mergeCell ref="I79:I87"/>
    <mergeCell ref="J79:J87"/>
    <mergeCell ref="N79:N87"/>
    <mergeCell ref="O79:O87"/>
    <mergeCell ref="P79:P87"/>
    <mergeCell ref="B79:B87"/>
    <mergeCell ref="C79:C87"/>
    <mergeCell ref="D79:D87"/>
    <mergeCell ref="E79:E87"/>
    <mergeCell ref="F79:F87"/>
    <mergeCell ref="G79:G87"/>
    <mergeCell ref="CO59:CO75"/>
    <mergeCell ref="CP59:CP75"/>
    <mergeCell ref="CQ59:CQ75"/>
    <mergeCell ref="CR59:CR75"/>
    <mergeCell ref="CS59:CS75"/>
    <mergeCell ref="S60:S61"/>
    <mergeCell ref="T60:T61"/>
    <mergeCell ref="U60:U61"/>
    <mergeCell ref="V60:V61"/>
    <mergeCell ref="X60:X61"/>
    <mergeCell ref="CD59:CD75"/>
    <mergeCell ref="CF59:CF75"/>
    <mergeCell ref="CH59:CH75"/>
    <mergeCell ref="CL59:CL75"/>
    <mergeCell ref="CM59:CM75"/>
    <mergeCell ref="CN59:CN75"/>
    <mergeCell ref="BV59:BV75"/>
    <mergeCell ref="BW59:BW75"/>
    <mergeCell ref="BX59:BX75"/>
    <mergeCell ref="BZ59:BZ75"/>
    <mergeCell ref="CA59:CA75"/>
    <mergeCell ref="CC59:CC75"/>
    <mergeCell ref="Q59:Q75"/>
    <mergeCell ref="BN59:BN75"/>
    <mergeCell ref="BO59:BO75"/>
    <mergeCell ref="BQ59:BQ75"/>
    <mergeCell ref="BR59:BR75"/>
    <mergeCell ref="BU59:BU75"/>
    <mergeCell ref="Y60:Y61"/>
    <mergeCell ref="H59:H75"/>
    <mergeCell ref="I59:I75"/>
    <mergeCell ref="J59:J75"/>
    <mergeCell ref="N59:N75"/>
    <mergeCell ref="O59:O75"/>
    <mergeCell ref="P59:P75"/>
    <mergeCell ref="B59:B75"/>
    <mergeCell ref="C59:C75"/>
    <mergeCell ref="D59:D75"/>
    <mergeCell ref="E59:E75"/>
    <mergeCell ref="F59:F75"/>
    <mergeCell ref="G59:G75"/>
    <mergeCell ref="CN43:CN58"/>
    <mergeCell ref="CO43:CO58"/>
    <mergeCell ref="CP43:CP58"/>
    <mergeCell ref="BU43:BU58"/>
    <mergeCell ref="BV43:BV58"/>
    <mergeCell ref="BW43:BW58"/>
    <mergeCell ref="BX43:BX58"/>
    <mergeCell ref="BZ43:BZ58"/>
    <mergeCell ref="CA43:CA58"/>
    <mergeCell ref="P43:P58"/>
    <mergeCell ref="Q43:Q58"/>
    <mergeCell ref="BN43:BN58"/>
    <mergeCell ref="BO43:BO58"/>
    <mergeCell ref="BQ43:BQ58"/>
    <mergeCell ref="BR43:BR58"/>
    <mergeCell ref="G43:G58"/>
    <mergeCell ref="H43:H58"/>
    <mergeCell ref="I43:I58"/>
    <mergeCell ref="CQ43:CQ58"/>
    <mergeCell ref="CR43:CR58"/>
    <mergeCell ref="CS43:CS58"/>
    <mergeCell ref="CC43:CC58"/>
    <mergeCell ref="CD43:CD58"/>
    <mergeCell ref="CF43:CF58"/>
    <mergeCell ref="CH43:CH58"/>
    <mergeCell ref="CL43:CL58"/>
    <mergeCell ref="CM43:CM58"/>
    <mergeCell ref="J43:J58"/>
    <mergeCell ref="N43:N58"/>
    <mergeCell ref="O43:O58"/>
    <mergeCell ref="B41:B42"/>
    <mergeCell ref="Z41:Z42"/>
    <mergeCell ref="AA41:AA42"/>
    <mergeCell ref="AB41:AB42"/>
    <mergeCell ref="AC41:AC42"/>
    <mergeCell ref="B43:B58"/>
    <mergeCell ref="C43:C58"/>
    <mergeCell ref="D43:D58"/>
    <mergeCell ref="E43:E58"/>
    <mergeCell ref="F43:F58"/>
    <mergeCell ref="CO35:CO40"/>
    <mergeCell ref="CP35:CP40"/>
    <mergeCell ref="CQ35:CQ40"/>
    <mergeCell ref="CR35:CR40"/>
    <mergeCell ref="CS35:CS40"/>
    <mergeCell ref="AT38:AT39"/>
    <mergeCell ref="AU38:AU39"/>
    <mergeCell ref="AV38:AV39"/>
    <mergeCell ref="AW38:AW39"/>
    <mergeCell ref="CC35:CC41"/>
    <mergeCell ref="CD35:CD41"/>
    <mergeCell ref="CF35:CF41"/>
    <mergeCell ref="CH35:CH41"/>
    <mergeCell ref="CJ35:CJ41"/>
    <mergeCell ref="CL35:CL40"/>
    <mergeCell ref="Q35:Q40"/>
    <mergeCell ref="BN35:BN40"/>
    <mergeCell ref="BO35:BO40"/>
    <mergeCell ref="BQ35:BQ40"/>
    <mergeCell ref="BU35:BU40"/>
    <mergeCell ref="AY38:AY39"/>
    <mergeCell ref="J35:J40"/>
    <mergeCell ref="K35:K40"/>
    <mergeCell ref="L35:L40"/>
    <mergeCell ref="M35:M40"/>
    <mergeCell ref="N35:N40"/>
    <mergeCell ref="O35:O40"/>
    <mergeCell ref="B35:B40"/>
    <mergeCell ref="C35:C40"/>
    <mergeCell ref="E35:E40"/>
    <mergeCell ref="F35:F40"/>
    <mergeCell ref="G35:G40"/>
    <mergeCell ref="I35:I40"/>
    <mergeCell ref="CO30:CO33"/>
    <mergeCell ref="CP30:CP33"/>
    <mergeCell ref="CQ30:CQ33"/>
    <mergeCell ref="BN30:BN33"/>
    <mergeCell ref="BO30:BO33"/>
    <mergeCell ref="BQ30:BQ33"/>
    <mergeCell ref="BR30:BR41"/>
    <mergeCell ref="BS30:BS41"/>
    <mergeCell ref="BU30:BU33"/>
    <mergeCell ref="U30:U31"/>
    <mergeCell ref="V30:V31"/>
    <mergeCell ref="X30:X31"/>
    <mergeCell ref="Y30:Y31"/>
    <mergeCell ref="BA30:BA33"/>
    <mergeCell ref="M30:M33"/>
    <mergeCell ref="N30:N33"/>
    <mergeCell ref="O30:O33"/>
    <mergeCell ref="P35:P40"/>
    <mergeCell ref="CR30:CR33"/>
    <mergeCell ref="CS30:CS33"/>
    <mergeCell ref="C32:C33"/>
    <mergeCell ref="D32:D33"/>
    <mergeCell ref="E32:E33"/>
    <mergeCell ref="F32:F33"/>
    <mergeCell ref="G32:G33"/>
    <mergeCell ref="CD30:CD33"/>
    <mergeCell ref="CF30:CF33"/>
    <mergeCell ref="CH30:CH33"/>
    <mergeCell ref="CL30:CL33"/>
    <mergeCell ref="CM30:CM41"/>
    <mergeCell ref="CN30:CN33"/>
    <mergeCell ref="CN35:CN40"/>
    <mergeCell ref="BV30:BV33"/>
    <mergeCell ref="BW30:BW33"/>
    <mergeCell ref="BX30:BX41"/>
    <mergeCell ref="BZ30:BZ33"/>
    <mergeCell ref="CA30:CA33"/>
    <mergeCell ref="CC30:CC33"/>
    <mergeCell ref="BV35:BV40"/>
    <mergeCell ref="BW35:BW40"/>
    <mergeCell ref="BZ35:BZ41"/>
    <mergeCell ref="CA35:CA41"/>
    <mergeCell ref="B22:B26"/>
    <mergeCell ref="B30:B33"/>
    <mergeCell ref="C30:C31"/>
    <mergeCell ref="D30:D31"/>
    <mergeCell ref="E30:E31"/>
    <mergeCell ref="F30:F31"/>
    <mergeCell ref="BF16:BF17"/>
    <mergeCell ref="BG16:BG17"/>
    <mergeCell ref="BH16:BH17"/>
    <mergeCell ref="P30:P33"/>
    <mergeCell ref="S30:S31"/>
    <mergeCell ref="T30:T31"/>
    <mergeCell ref="G30:G31"/>
    <mergeCell ref="H30:H31"/>
    <mergeCell ref="I30:I33"/>
    <mergeCell ref="J30:J33"/>
    <mergeCell ref="K30:K33"/>
    <mergeCell ref="L30:L33"/>
    <mergeCell ref="H32:H33"/>
    <mergeCell ref="CH15:CH17"/>
    <mergeCell ref="CJ15:CJ17"/>
    <mergeCell ref="AT16:AT17"/>
    <mergeCell ref="AU16:AU17"/>
    <mergeCell ref="AV16:AV17"/>
    <mergeCell ref="BX15:BX19"/>
    <mergeCell ref="BZ15:BZ17"/>
    <mergeCell ref="CA15:CA17"/>
    <mergeCell ref="CC15:CC19"/>
    <mergeCell ref="CD15:CD19"/>
    <mergeCell ref="CF15:CF17"/>
    <mergeCell ref="BI16:BI17"/>
    <mergeCell ref="BJ16:BJ17"/>
    <mergeCell ref="BK16:BK17"/>
    <mergeCell ref="AW16:AW17"/>
    <mergeCell ref="AY16:AY17"/>
    <mergeCell ref="BA16:BA17"/>
    <mergeCell ref="BC16:BC17"/>
    <mergeCell ref="BD16:BD17"/>
    <mergeCell ref="BE16:BE17"/>
    <mergeCell ref="BS15:BS16"/>
    <mergeCell ref="BU15:BU19"/>
    <mergeCell ref="BW15:BW19"/>
    <mergeCell ref="BC8:BC9"/>
    <mergeCell ref="BD8:BD9"/>
    <mergeCell ref="BE8:BE9"/>
    <mergeCell ref="BF8:BF9"/>
    <mergeCell ref="BG8:BG9"/>
    <mergeCell ref="BH8:BH9"/>
    <mergeCell ref="AT8:AT9"/>
    <mergeCell ref="AU8:AU9"/>
    <mergeCell ref="AV8:AV9"/>
    <mergeCell ref="AW8:AW9"/>
    <mergeCell ref="AY8:AY9"/>
    <mergeCell ref="BA8:BA9"/>
    <mergeCell ref="BI8:BI9"/>
    <mergeCell ref="BJ8:BJ9"/>
    <mergeCell ref="BK8:BK9"/>
    <mergeCell ref="CQ4:CR4"/>
    <mergeCell ref="CU4:CV4"/>
    <mergeCell ref="BN1:CH1"/>
    <mergeCell ref="BM2:BS3"/>
    <mergeCell ref="BU2:BX3"/>
    <mergeCell ref="BZ2:CD3"/>
    <mergeCell ref="CF2:CJ3"/>
    <mergeCell ref="CH7:CH9"/>
    <mergeCell ref="CJ7:CJ9"/>
    <mergeCell ref="CA7:CA9"/>
    <mergeCell ref="CC7:CC11"/>
    <mergeCell ref="CD7:CD11"/>
    <mergeCell ref="CF7:CF9"/>
    <mergeCell ref="BS7:BS8"/>
    <mergeCell ref="BU7:BU11"/>
    <mergeCell ref="BW7:BW11"/>
    <mergeCell ref="BX7:BX11"/>
    <mergeCell ref="BZ7:BZ9"/>
    <mergeCell ref="Z4:AC4"/>
    <mergeCell ref="AG4:AY4"/>
    <mergeCell ref="BA4:BK4"/>
    <mergeCell ref="BM4:BQ4"/>
    <mergeCell ref="BU4:BW4"/>
    <mergeCell ref="BZ4:CA4"/>
    <mergeCell ref="CC4:CD4"/>
    <mergeCell ref="CL4:CM4"/>
    <mergeCell ref="CN4:CO4"/>
  </mergeCells>
  <pageMargins left="0.25" right="0.25" top="0.75" bottom="0.75" header="0.3" footer="0.3"/>
  <pageSetup paperSize="19" scale="13"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4:K15"/>
  <sheetViews>
    <sheetView zoomScaleNormal="100" workbookViewId="0">
      <selection activeCell="K17" sqref="K17"/>
    </sheetView>
  </sheetViews>
  <sheetFormatPr defaultRowHeight="14.4" x14ac:dyDescent="0.3"/>
  <cols>
    <col min="1" max="1" width="14.109375" customWidth="1"/>
    <col min="2" max="2" width="47" customWidth="1"/>
    <col min="3" max="3" width="17.88671875" customWidth="1"/>
    <col min="4" max="5" width="18.33203125" customWidth="1"/>
    <col min="6" max="6" width="15.88671875" customWidth="1"/>
    <col min="7" max="7" width="11.5546875" customWidth="1"/>
    <col min="8" max="8" width="14.33203125" customWidth="1"/>
  </cols>
  <sheetData>
    <row r="4" spans="1:11" ht="15" thickBot="1" x14ac:dyDescent="0.35"/>
    <row r="5" spans="1:11" ht="44.4" customHeight="1" thickBot="1" x14ac:dyDescent="0.65">
      <c r="A5" s="902" t="s">
        <v>548</v>
      </c>
      <c r="C5" s="951" t="s">
        <v>587</v>
      </c>
      <c r="D5" s="160" t="s">
        <v>588</v>
      </c>
      <c r="E5" s="160" t="s">
        <v>605</v>
      </c>
      <c r="F5" s="950" t="s">
        <v>586</v>
      </c>
      <c r="G5" s="952" t="s">
        <v>594</v>
      </c>
      <c r="H5" s="951" t="s">
        <v>595</v>
      </c>
      <c r="I5" s="950" t="s">
        <v>606</v>
      </c>
      <c r="J5" s="951" t="s">
        <v>607</v>
      </c>
      <c r="K5" s="160" t="s">
        <v>608</v>
      </c>
    </row>
    <row r="6" spans="1:11" ht="23.1" customHeight="1" x14ac:dyDescent="0.4">
      <c r="A6" s="903"/>
      <c r="B6" s="903"/>
      <c r="C6" s="905" t="s">
        <v>555</v>
      </c>
      <c r="D6" s="904" t="s">
        <v>555</v>
      </c>
      <c r="E6" s="904" t="s">
        <v>598</v>
      </c>
      <c r="F6" s="905" t="s">
        <v>554</v>
      </c>
      <c r="G6" s="904" t="s">
        <v>554</v>
      </c>
      <c r="H6" s="905" t="s">
        <v>555</v>
      </c>
      <c r="I6" s="905" t="s">
        <v>554</v>
      </c>
      <c r="J6" s="905" t="s">
        <v>555</v>
      </c>
      <c r="K6" s="904" t="s">
        <v>555</v>
      </c>
    </row>
    <row r="7" spans="1:11" ht="21" x14ac:dyDescent="0.4">
      <c r="A7" s="903"/>
      <c r="B7" s="903"/>
      <c r="C7" s="907" t="s">
        <v>549</v>
      </c>
      <c r="D7" s="906" t="s">
        <v>549</v>
      </c>
      <c r="E7" s="906" t="s">
        <v>549</v>
      </c>
      <c r="F7" s="907" t="s">
        <v>549</v>
      </c>
      <c r="G7" s="906" t="s">
        <v>593</v>
      </c>
      <c r="H7" s="906" t="s">
        <v>593</v>
      </c>
      <c r="I7" s="907" t="s">
        <v>549</v>
      </c>
      <c r="J7" s="907" t="s">
        <v>549</v>
      </c>
      <c r="K7" s="906" t="s">
        <v>549</v>
      </c>
    </row>
    <row r="8" spans="1:11" ht="21.6" thickBot="1" x14ac:dyDescent="0.45">
      <c r="A8" s="903"/>
      <c r="B8" s="903"/>
      <c r="C8" s="907">
        <v>15</v>
      </c>
      <c r="D8" s="906">
        <v>28</v>
      </c>
      <c r="E8" s="906">
        <v>35</v>
      </c>
      <c r="F8" s="907">
        <v>9</v>
      </c>
      <c r="G8" s="906">
        <v>9</v>
      </c>
      <c r="H8" s="907">
        <v>15</v>
      </c>
      <c r="I8" s="907">
        <v>9</v>
      </c>
      <c r="J8" s="907">
        <v>15</v>
      </c>
      <c r="K8" s="906">
        <v>28</v>
      </c>
    </row>
    <row r="9" spans="1:11" ht="21" x14ac:dyDescent="0.4">
      <c r="A9" s="908" t="s">
        <v>550</v>
      </c>
      <c r="B9" s="909" t="s">
        <v>551</v>
      </c>
      <c r="C9" s="911">
        <v>15</v>
      </c>
      <c r="D9" s="910">
        <v>28</v>
      </c>
      <c r="E9" s="910">
        <v>35</v>
      </c>
      <c r="F9" s="911">
        <v>9</v>
      </c>
      <c r="G9" s="910">
        <v>9</v>
      </c>
      <c r="H9" s="911">
        <v>15</v>
      </c>
      <c r="I9" s="911">
        <v>9</v>
      </c>
      <c r="J9" s="911">
        <v>15</v>
      </c>
      <c r="K9" s="910">
        <v>28</v>
      </c>
    </row>
    <row r="10" spans="1:11" ht="21" x14ac:dyDescent="0.4">
      <c r="A10" s="1364" t="s">
        <v>552</v>
      </c>
      <c r="B10" s="912" t="s">
        <v>553</v>
      </c>
      <c r="C10" s="944">
        <v>51</v>
      </c>
      <c r="D10" s="943">
        <v>60</v>
      </c>
      <c r="E10" s="943" t="s">
        <v>187</v>
      </c>
      <c r="F10" s="944">
        <v>40</v>
      </c>
      <c r="G10" s="943" t="s">
        <v>187</v>
      </c>
      <c r="H10" s="944" t="s">
        <v>187</v>
      </c>
      <c r="I10" s="944">
        <v>40</v>
      </c>
      <c r="J10" s="944">
        <v>51</v>
      </c>
      <c r="K10" s="943">
        <v>60</v>
      </c>
    </row>
    <row r="11" spans="1:11" ht="21" x14ac:dyDescent="0.4">
      <c r="A11" s="1364"/>
      <c r="B11" s="912" t="s">
        <v>557</v>
      </c>
      <c r="C11" s="914">
        <v>60</v>
      </c>
      <c r="D11" s="913">
        <v>64</v>
      </c>
      <c r="E11" s="913">
        <v>64</v>
      </c>
      <c r="F11" s="914">
        <v>40</v>
      </c>
      <c r="G11" s="913">
        <v>35</v>
      </c>
      <c r="H11" s="913">
        <v>38</v>
      </c>
      <c r="I11" s="914">
        <v>40</v>
      </c>
      <c r="J11" s="914">
        <v>60</v>
      </c>
      <c r="K11" s="913">
        <v>64</v>
      </c>
    </row>
    <row r="12" spans="1:11" ht="48" customHeight="1" x14ac:dyDescent="0.3">
      <c r="A12" s="1364"/>
      <c r="B12" s="915" t="s">
        <v>570</v>
      </c>
      <c r="C12" s="945">
        <f t="shared" ref="C12:F12" si="0">C10+2</f>
        <v>53</v>
      </c>
      <c r="D12" s="945">
        <f t="shared" si="0"/>
        <v>62</v>
      </c>
      <c r="E12" s="945" t="s">
        <v>187</v>
      </c>
      <c r="F12" s="945">
        <f t="shared" si="0"/>
        <v>42</v>
      </c>
      <c r="G12" s="945" t="s">
        <v>187</v>
      </c>
      <c r="H12" s="945" t="s">
        <v>187</v>
      </c>
      <c r="I12" s="945">
        <f t="shared" ref="I12:K12" si="1">I10+2</f>
        <v>42</v>
      </c>
      <c r="J12" s="945">
        <f t="shared" si="1"/>
        <v>53</v>
      </c>
      <c r="K12" s="945">
        <f t="shared" si="1"/>
        <v>62</v>
      </c>
    </row>
    <row r="13" spans="1:11" ht="47.1" customHeight="1" x14ac:dyDescent="0.3">
      <c r="A13" s="1364"/>
      <c r="B13" s="915" t="s">
        <v>571</v>
      </c>
      <c r="C13" s="916">
        <f>C11+2</f>
        <v>62</v>
      </c>
      <c r="D13" s="916">
        <f>D11+2</f>
        <v>66</v>
      </c>
      <c r="E13" s="916">
        <f>E11+2</f>
        <v>66</v>
      </c>
      <c r="F13" s="916">
        <f>F11+2</f>
        <v>42</v>
      </c>
      <c r="G13" s="916">
        <f t="shared" ref="G13:H13" si="2">G11+2</f>
        <v>37</v>
      </c>
      <c r="H13" s="916">
        <f t="shared" si="2"/>
        <v>40</v>
      </c>
      <c r="I13" s="916">
        <f>I11+2</f>
        <v>42</v>
      </c>
      <c r="J13" s="916">
        <f>J11+2</f>
        <v>62</v>
      </c>
      <c r="K13" s="916">
        <f>K11+2</f>
        <v>66</v>
      </c>
    </row>
    <row r="14" spans="1:11" ht="21" x14ac:dyDescent="0.3">
      <c r="A14" s="1364"/>
      <c r="B14" s="912" t="s">
        <v>556</v>
      </c>
      <c r="C14" s="946">
        <v>93</v>
      </c>
      <c r="D14" s="945">
        <v>105</v>
      </c>
      <c r="E14" s="945" t="s">
        <v>187</v>
      </c>
      <c r="F14" s="946">
        <v>75</v>
      </c>
      <c r="G14" s="945" t="s">
        <v>187</v>
      </c>
      <c r="H14" s="946" t="s">
        <v>187</v>
      </c>
      <c r="I14" s="946">
        <v>75</v>
      </c>
      <c r="J14" s="946">
        <v>93</v>
      </c>
      <c r="K14" s="945">
        <v>105</v>
      </c>
    </row>
    <row r="15" spans="1:11" ht="21.6" thickBot="1" x14ac:dyDescent="0.35">
      <c r="A15" s="1365"/>
      <c r="B15" s="917" t="s">
        <v>558</v>
      </c>
      <c r="C15" s="948">
        <v>105</v>
      </c>
      <c r="D15" s="947">
        <v>121</v>
      </c>
      <c r="E15" s="947">
        <v>121</v>
      </c>
      <c r="F15" s="948">
        <v>83</v>
      </c>
      <c r="G15" s="947">
        <v>66</v>
      </c>
      <c r="H15" s="947">
        <v>71</v>
      </c>
      <c r="I15" s="948">
        <v>83</v>
      </c>
      <c r="J15" s="948">
        <v>105</v>
      </c>
      <c r="K15" s="947">
        <v>121</v>
      </c>
    </row>
  </sheetData>
  <mergeCells count="1">
    <mergeCell ref="A10:A1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W25"/>
  <sheetViews>
    <sheetView zoomScale="90" zoomScaleNormal="90" workbookViewId="0">
      <selection activeCell="A2" sqref="A2"/>
    </sheetView>
  </sheetViews>
  <sheetFormatPr defaultRowHeight="14.4" x14ac:dyDescent="0.3"/>
  <cols>
    <col min="1" max="1" width="28" customWidth="1"/>
    <col min="2" max="2" width="11.6640625" customWidth="1"/>
    <col min="3" max="3" width="14.44140625" customWidth="1"/>
    <col min="4" max="4" width="13.44140625" customWidth="1"/>
    <col min="5" max="5" width="15.109375" customWidth="1"/>
    <col min="6" max="6" width="13.6640625" customWidth="1"/>
    <col min="7" max="7" width="9.44140625" customWidth="1"/>
    <col min="8" max="8" width="4.88671875" customWidth="1"/>
    <col min="9" max="11" width="11.44140625" customWidth="1"/>
    <col min="12" max="13" width="10.44140625" customWidth="1"/>
    <col min="14" max="14" width="14" customWidth="1"/>
    <col min="15" max="17" width="11.44140625" customWidth="1"/>
    <col min="20" max="20" width="9" bestFit="1" customWidth="1"/>
  </cols>
  <sheetData>
    <row r="1" spans="1:23" ht="18.899999999999999" customHeight="1" x14ac:dyDescent="0.35">
      <c r="A1" s="441" t="s">
        <v>584</v>
      </c>
      <c r="N1" s="1366" t="s">
        <v>357</v>
      </c>
      <c r="O1" s="1367"/>
      <c r="P1" s="1367"/>
      <c r="Q1" s="1367"/>
    </row>
    <row r="2" spans="1:23" x14ac:dyDescent="0.3">
      <c r="A2" s="442" t="s">
        <v>379</v>
      </c>
      <c r="N2" s="443" t="s">
        <v>373</v>
      </c>
      <c r="O2" s="492" t="s">
        <v>376</v>
      </c>
      <c r="P2" s="444" t="s">
        <v>377</v>
      </c>
    </row>
    <row r="3" spans="1:23" x14ac:dyDescent="0.3">
      <c r="A3" s="1368" t="s">
        <v>358</v>
      </c>
      <c r="B3" s="1369"/>
      <c r="C3" s="1369"/>
      <c r="D3" s="1369"/>
      <c r="E3" s="640"/>
      <c r="F3" s="445"/>
      <c r="G3" s="134"/>
    </row>
    <row r="4" spans="1:23" x14ac:dyDescent="0.3">
      <c r="A4" s="446" t="s">
        <v>359</v>
      </c>
      <c r="B4" s="447"/>
      <c r="C4" s="448"/>
      <c r="D4" s="449"/>
      <c r="E4" s="449"/>
    </row>
    <row r="5" spans="1:23" x14ac:dyDescent="0.3">
      <c r="A5" s="1370" t="s">
        <v>100</v>
      </c>
      <c r="B5" s="1371"/>
      <c r="C5" s="1371"/>
      <c r="D5" s="1371"/>
      <c r="E5" s="1371"/>
      <c r="F5" s="1371"/>
      <c r="G5" s="1371"/>
      <c r="H5" s="1371"/>
      <c r="I5" s="1371"/>
      <c r="J5" s="1371"/>
      <c r="K5" s="1371"/>
      <c r="L5" s="1371"/>
      <c r="M5" s="1371"/>
      <c r="N5" s="1371"/>
      <c r="O5" s="1371"/>
      <c r="P5" s="1371"/>
      <c r="Q5" s="1371"/>
    </row>
    <row r="6" spans="1:23" x14ac:dyDescent="0.3">
      <c r="B6" s="1372" t="s">
        <v>101</v>
      </c>
      <c r="C6" s="1372"/>
      <c r="D6" s="1372"/>
      <c r="E6" s="1372"/>
      <c r="F6" s="1372"/>
      <c r="G6" s="639"/>
      <c r="I6" s="1372" t="s">
        <v>102</v>
      </c>
      <c r="J6" s="1372"/>
      <c r="K6" s="1372"/>
      <c r="L6" s="1372"/>
      <c r="M6" s="1372"/>
      <c r="N6" s="1372"/>
      <c r="P6" s="1372" t="s">
        <v>103</v>
      </c>
      <c r="Q6" s="1372"/>
      <c r="R6" s="1372"/>
      <c r="S6" s="1372"/>
      <c r="T6" s="1372"/>
      <c r="U6" s="1372"/>
    </row>
    <row r="7" spans="1:23" x14ac:dyDescent="0.3">
      <c r="B7" s="639"/>
      <c r="C7" s="648" t="s">
        <v>369</v>
      </c>
      <c r="D7" s="648" t="s">
        <v>562</v>
      </c>
      <c r="E7" s="639" t="s">
        <v>560</v>
      </c>
      <c r="F7" s="648" t="s">
        <v>559</v>
      </c>
      <c r="G7" s="639" t="s">
        <v>30</v>
      </c>
      <c r="I7" s="639"/>
      <c r="J7" s="639"/>
      <c r="K7" s="639"/>
      <c r="L7" s="639"/>
      <c r="M7" s="641"/>
      <c r="N7" s="639"/>
      <c r="P7" s="639"/>
      <c r="Q7" s="639"/>
      <c r="R7" s="639"/>
      <c r="S7" s="641"/>
      <c r="T7" s="639"/>
      <c r="U7" s="639"/>
    </row>
    <row r="8" spans="1:23" x14ac:dyDescent="0.3">
      <c r="A8" s="450" t="s">
        <v>104</v>
      </c>
      <c r="B8" s="451" t="s">
        <v>425</v>
      </c>
      <c r="C8" s="451" t="s">
        <v>369</v>
      </c>
      <c r="D8" s="451" t="s">
        <v>27</v>
      </c>
      <c r="E8" s="451" t="s">
        <v>105</v>
      </c>
      <c r="F8" s="451" t="s">
        <v>432</v>
      </c>
      <c r="G8" s="451" t="s">
        <v>106</v>
      </c>
      <c r="H8" s="451"/>
      <c r="I8" s="451" t="s">
        <v>425</v>
      </c>
      <c r="J8" s="451" t="s">
        <v>369</v>
      </c>
      <c r="K8" s="451" t="s">
        <v>27</v>
      </c>
      <c r="L8" s="451" t="s">
        <v>105</v>
      </c>
      <c r="M8" s="451" t="s">
        <v>432</v>
      </c>
      <c r="N8" s="451" t="s">
        <v>106</v>
      </c>
      <c r="O8" s="451"/>
      <c r="P8" s="451" t="s">
        <v>425</v>
      </c>
      <c r="Q8" s="451" t="s">
        <v>369</v>
      </c>
      <c r="R8" s="451" t="s">
        <v>27</v>
      </c>
      <c r="S8" s="451" t="s">
        <v>105</v>
      </c>
      <c r="T8" s="451" t="s">
        <v>432</v>
      </c>
      <c r="U8" s="451" t="s">
        <v>106</v>
      </c>
      <c r="W8" s="451" t="s">
        <v>380</v>
      </c>
    </row>
    <row r="9" spans="1:23" x14ac:dyDescent="0.3">
      <c r="A9" s="645" t="s">
        <v>610</v>
      </c>
      <c r="B9" s="657"/>
      <c r="C9" s="926">
        <v>0.56000000000000005</v>
      </c>
      <c r="D9" s="926">
        <v>2.56</v>
      </c>
      <c r="E9" s="487" t="s">
        <v>187</v>
      </c>
      <c r="F9" s="926">
        <v>0.25700000000000001</v>
      </c>
      <c r="G9" s="487" t="s">
        <v>187</v>
      </c>
      <c r="H9" s="642"/>
      <c r="I9" s="658"/>
      <c r="J9" s="487" t="s">
        <v>187</v>
      </c>
      <c r="K9" s="489"/>
      <c r="L9" s="489"/>
      <c r="M9" s="487" t="s">
        <v>187</v>
      </c>
      <c r="N9" s="487" t="s">
        <v>187</v>
      </c>
      <c r="O9" s="488"/>
      <c r="P9" s="655"/>
      <c r="Q9" s="487">
        <v>0.5</v>
      </c>
      <c r="R9" s="487">
        <v>1.05</v>
      </c>
      <c r="S9" s="487" t="s">
        <v>187</v>
      </c>
      <c r="T9" s="487">
        <v>1.8</v>
      </c>
      <c r="U9" s="487" t="s">
        <v>187</v>
      </c>
      <c r="V9" s="490"/>
      <c r="W9" s="491" t="s">
        <v>580</v>
      </c>
    </row>
    <row r="10" spans="1:23" x14ac:dyDescent="0.3">
      <c r="A10" s="646" t="s">
        <v>611</v>
      </c>
      <c r="B10" s="657"/>
      <c r="C10" s="926">
        <v>0.6</v>
      </c>
      <c r="D10" s="926">
        <v>2.95</v>
      </c>
      <c r="E10" s="487" t="s">
        <v>187</v>
      </c>
      <c r="F10" s="926">
        <v>0.39400000000000002</v>
      </c>
      <c r="G10" s="487" t="s">
        <v>187</v>
      </c>
      <c r="H10" s="642"/>
      <c r="I10" s="658"/>
      <c r="J10" s="487" t="s">
        <v>187</v>
      </c>
      <c r="K10" s="489"/>
      <c r="L10" s="489"/>
      <c r="M10" s="487" t="s">
        <v>187</v>
      </c>
      <c r="N10" s="487" t="s">
        <v>187</v>
      </c>
      <c r="O10" s="488"/>
      <c r="P10" s="655"/>
      <c r="Q10" s="487">
        <v>0.5</v>
      </c>
      <c r="R10" s="487">
        <v>1.05</v>
      </c>
      <c r="S10" s="487" t="s">
        <v>187</v>
      </c>
      <c r="T10" s="487">
        <v>1.8</v>
      </c>
      <c r="U10" s="487" t="s">
        <v>187</v>
      </c>
      <c r="V10" s="490"/>
      <c r="W10" s="491" t="s">
        <v>581</v>
      </c>
    </row>
    <row r="11" spans="1:23" x14ac:dyDescent="0.3">
      <c r="A11" s="646" t="s">
        <v>612</v>
      </c>
      <c r="B11" s="657"/>
      <c r="C11" s="926">
        <v>0.78</v>
      </c>
      <c r="D11" s="926">
        <v>3.5</v>
      </c>
      <c r="E11" s="487" t="s">
        <v>187</v>
      </c>
      <c r="F11" s="926">
        <v>0.5</v>
      </c>
      <c r="G11" s="487" t="s">
        <v>187</v>
      </c>
      <c r="H11" s="642"/>
      <c r="I11" s="658"/>
      <c r="J11" s="487" t="s">
        <v>187</v>
      </c>
      <c r="K11" s="489"/>
      <c r="L11" s="489"/>
      <c r="M11" s="487" t="s">
        <v>187</v>
      </c>
      <c r="N11" s="487" t="s">
        <v>187</v>
      </c>
      <c r="O11" s="488"/>
      <c r="P11" s="655"/>
      <c r="Q11" s="487">
        <v>0.5</v>
      </c>
      <c r="R11" s="487">
        <v>1.05</v>
      </c>
      <c r="S11" s="487" t="s">
        <v>187</v>
      </c>
      <c r="T11" s="487">
        <v>1.8</v>
      </c>
      <c r="U11" s="487" t="s">
        <v>187</v>
      </c>
      <c r="V11" s="490"/>
      <c r="W11" s="486" t="s">
        <v>582</v>
      </c>
    </row>
    <row r="12" spans="1:23" x14ac:dyDescent="0.3">
      <c r="A12" s="455" t="s">
        <v>107</v>
      </c>
      <c r="B12" s="942"/>
      <c r="C12" s="452"/>
      <c r="D12" s="452"/>
      <c r="E12" s="452"/>
      <c r="F12" s="452"/>
      <c r="G12" s="452"/>
      <c r="H12" s="456"/>
      <c r="I12" s="941"/>
      <c r="J12" s="453"/>
      <c r="K12" s="453"/>
      <c r="L12" s="453"/>
      <c r="M12" s="453"/>
      <c r="N12" s="453"/>
      <c r="O12" s="135"/>
      <c r="P12" s="656"/>
      <c r="Q12" s="458"/>
      <c r="R12" s="458"/>
      <c r="S12" s="458"/>
      <c r="T12" s="458"/>
      <c r="U12" s="458"/>
      <c r="W12" s="455" t="s">
        <v>107</v>
      </c>
    </row>
    <row r="13" spans="1:23" x14ac:dyDescent="0.3">
      <c r="A13" s="646" t="s">
        <v>378</v>
      </c>
      <c r="B13" s="657"/>
      <c r="C13" s="926">
        <v>0.7</v>
      </c>
      <c r="D13" s="926">
        <v>3.89</v>
      </c>
      <c r="E13" s="487" t="s">
        <v>187</v>
      </c>
      <c r="F13" s="926">
        <v>0.126</v>
      </c>
      <c r="G13" s="487" t="s">
        <v>187</v>
      </c>
      <c r="H13" s="642"/>
      <c r="I13" s="658"/>
      <c r="J13" s="489"/>
      <c r="K13" s="489"/>
      <c r="L13" s="489"/>
      <c r="M13" s="487" t="s">
        <v>187</v>
      </c>
      <c r="N13" s="487" t="s">
        <v>187</v>
      </c>
      <c r="O13" s="488"/>
      <c r="P13" s="655"/>
      <c r="Q13" s="487">
        <v>0.6</v>
      </c>
      <c r="R13" s="487">
        <v>1.1000000000000001</v>
      </c>
      <c r="S13" s="487" t="s">
        <v>187</v>
      </c>
      <c r="T13" s="487">
        <v>1.8</v>
      </c>
      <c r="U13" s="487" t="s">
        <v>187</v>
      </c>
      <c r="V13" s="490"/>
      <c r="W13" s="491" t="s">
        <v>378</v>
      </c>
    </row>
    <row r="14" spans="1:23" x14ac:dyDescent="0.3">
      <c r="A14" s="646" t="s">
        <v>578</v>
      </c>
      <c r="B14" s="657"/>
      <c r="C14" s="926">
        <v>0.71</v>
      </c>
      <c r="D14" s="926">
        <v>4.87</v>
      </c>
      <c r="E14" s="487" t="s">
        <v>187</v>
      </c>
      <c r="F14" s="926">
        <v>0.23400000000000001</v>
      </c>
      <c r="G14" s="487" t="s">
        <v>187</v>
      </c>
      <c r="H14" s="642"/>
      <c r="I14" s="658"/>
      <c r="J14" s="489"/>
      <c r="K14" s="489"/>
      <c r="L14" s="489"/>
      <c r="M14" s="487" t="s">
        <v>187</v>
      </c>
      <c r="N14" s="487" t="s">
        <v>187</v>
      </c>
      <c r="O14" s="488"/>
      <c r="P14" s="655"/>
      <c r="Q14" s="487">
        <v>0.6</v>
      </c>
      <c r="R14" s="487">
        <v>1.1000000000000001</v>
      </c>
      <c r="S14" s="487" t="s">
        <v>187</v>
      </c>
      <c r="T14" s="487">
        <v>1.8</v>
      </c>
      <c r="U14" s="487" t="s">
        <v>187</v>
      </c>
      <c r="V14" s="490"/>
      <c r="W14" s="491" t="s">
        <v>578</v>
      </c>
    </row>
    <row r="15" spans="1:23" x14ac:dyDescent="0.3">
      <c r="A15" s="646" t="s">
        <v>579</v>
      </c>
      <c r="B15" s="657"/>
      <c r="C15" s="926">
        <v>1.1000000000000001</v>
      </c>
      <c r="D15" s="926">
        <v>5.5</v>
      </c>
      <c r="E15" s="487" t="s">
        <v>187</v>
      </c>
      <c r="F15" s="926">
        <v>0.28000000000000003</v>
      </c>
      <c r="G15" s="487" t="s">
        <v>187</v>
      </c>
      <c r="H15" s="642"/>
      <c r="I15" s="658"/>
      <c r="J15" s="489"/>
      <c r="K15" s="489"/>
      <c r="L15" s="489"/>
      <c r="M15" s="487" t="s">
        <v>187</v>
      </c>
      <c r="N15" s="487" t="s">
        <v>187</v>
      </c>
      <c r="O15" s="488"/>
      <c r="P15" s="655"/>
      <c r="Q15" s="487">
        <v>0.6</v>
      </c>
      <c r="R15" s="487">
        <v>1.1000000000000001</v>
      </c>
      <c r="S15" s="487" t="s">
        <v>187</v>
      </c>
      <c r="T15" s="487">
        <v>1.8</v>
      </c>
      <c r="U15" s="487" t="s">
        <v>187</v>
      </c>
      <c r="V15" s="490"/>
      <c r="W15" s="486" t="s">
        <v>579</v>
      </c>
    </row>
    <row r="16" spans="1:23" x14ac:dyDescent="0.3">
      <c r="A16" s="455" t="s">
        <v>107</v>
      </c>
      <c r="B16" s="942"/>
      <c r="C16" s="452"/>
      <c r="D16" s="452"/>
      <c r="E16" s="452"/>
      <c r="F16" s="452"/>
      <c r="G16" s="452"/>
      <c r="H16" s="456"/>
      <c r="I16" s="941"/>
      <c r="J16" s="453"/>
      <c r="K16" s="453"/>
      <c r="L16" s="453"/>
      <c r="M16" s="453"/>
      <c r="N16" s="453"/>
      <c r="O16" s="135"/>
      <c r="P16" s="656"/>
      <c r="Q16" s="458"/>
      <c r="R16" s="458"/>
      <c r="S16" s="458"/>
      <c r="T16" s="458"/>
      <c r="U16" s="458"/>
      <c r="W16" s="455" t="s">
        <v>107</v>
      </c>
    </row>
    <row r="17" spans="1:23" x14ac:dyDescent="0.3">
      <c r="A17" s="646" t="s">
        <v>599</v>
      </c>
      <c r="B17" s="657"/>
      <c r="C17" s="487" t="s">
        <v>187</v>
      </c>
      <c r="D17" s="926">
        <v>5.6</v>
      </c>
      <c r="E17" s="926">
        <v>0.5</v>
      </c>
      <c r="F17" s="487" t="s">
        <v>187</v>
      </c>
      <c r="G17" s="926">
        <v>0.4</v>
      </c>
      <c r="H17" s="643"/>
      <c r="I17" s="658"/>
      <c r="J17" s="487" t="s">
        <v>187</v>
      </c>
      <c r="K17" s="489"/>
      <c r="L17" s="489"/>
      <c r="M17" s="489"/>
      <c r="N17" s="489"/>
      <c r="O17" s="488"/>
      <c r="P17" s="655"/>
      <c r="Q17" s="487" t="s">
        <v>187</v>
      </c>
      <c r="R17" s="487">
        <v>1.2</v>
      </c>
      <c r="S17" s="487">
        <v>2.5</v>
      </c>
      <c r="T17" s="487" t="s">
        <v>187</v>
      </c>
      <c r="U17" s="487">
        <v>0.6</v>
      </c>
      <c r="V17" s="490"/>
      <c r="W17" s="491" t="s">
        <v>575</v>
      </c>
    </row>
    <row r="18" spans="1:23" x14ac:dyDescent="0.3">
      <c r="A18" s="646" t="s">
        <v>600</v>
      </c>
      <c r="B18" s="657"/>
      <c r="C18" s="487" t="s">
        <v>187</v>
      </c>
      <c r="D18" s="926">
        <v>6</v>
      </c>
      <c r="E18" s="926">
        <v>1</v>
      </c>
      <c r="F18" s="487" t="s">
        <v>187</v>
      </c>
      <c r="G18" s="926">
        <v>0.4</v>
      </c>
      <c r="H18" s="643"/>
      <c r="I18" s="658"/>
      <c r="J18" s="487" t="s">
        <v>187</v>
      </c>
      <c r="K18" s="489"/>
      <c r="L18" s="489"/>
      <c r="M18" s="489"/>
      <c r="N18" s="489"/>
      <c r="O18" s="488"/>
      <c r="P18" s="655"/>
      <c r="Q18" s="487" t="s">
        <v>187</v>
      </c>
      <c r="R18" s="487">
        <v>1.2</v>
      </c>
      <c r="S18" s="487">
        <v>2.5</v>
      </c>
      <c r="T18" s="487" t="s">
        <v>187</v>
      </c>
      <c r="U18" s="487">
        <v>0.6</v>
      </c>
      <c r="V18" s="490"/>
      <c r="W18" s="491" t="s">
        <v>576</v>
      </c>
    </row>
    <row r="19" spans="1:23" x14ac:dyDescent="0.3">
      <c r="A19" s="646" t="s">
        <v>601</v>
      </c>
      <c r="B19" s="657"/>
      <c r="C19" s="487" t="s">
        <v>187</v>
      </c>
      <c r="D19" s="926">
        <v>7.9</v>
      </c>
      <c r="E19" s="926">
        <v>1</v>
      </c>
      <c r="F19" s="487" t="s">
        <v>187</v>
      </c>
      <c r="G19" s="926">
        <v>0.4</v>
      </c>
      <c r="H19" s="643"/>
      <c r="I19" s="658"/>
      <c r="J19" s="487" t="s">
        <v>187</v>
      </c>
      <c r="K19" s="489"/>
      <c r="L19" s="489"/>
      <c r="M19" s="489"/>
      <c r="N19" s="489"/>
      <c r="O19" s="488"/>
      <c r="P19" s="655"/>
      <c r="Q19" s="487" t="s">
        <v>187</v>
      </c>
      <c r="R19" s="487">
        <v>1.2</v>
      </c>
      <c r="S19" s="487">
        <v>2.5</v>
      </c>
      <c r="T19" s="487" t="s">
        <v>187</v>
      </c>
      <c r="U19" s="487">
        <v>0.6</v>
      </c>
      <c r="V19" s="490"/>
      <c r="W19" s="491" t="s">
        <v>577</v>
      </c>
    </row>
    <row r="20" spans="1:23" x14ac:dyDescent="0.3">
      <c r="A20" s="647" t="s">
        <v>602</v>
      </c>
      <c r="B20" s="657"/>
      <c r="C20" s="487" t="s">
        <v>187</v>
      </c>
      <c r="D20" s="926">
        <v>9.8000000000000007</v>
      </c>
      <c r="E20" s="926">
        <v>1.2</v>
      </c>
      <c r="F20" s="487" t="s">
        <v>187</v>
      </c>
      <c r="G20" s="926">
        <v>0.4</v>
      </c>
      <c r="H20" s="644"/>
      <c r="I20" s="658"/>
      <c r="J20" s="487" t="s">
        <v>187</v>
      </c>
      <c r="K20" s="461"/>
      <c r="L20" s="461"/>
      <c r="M20" s="461"/>
      <c r="N20" s="461"/>
      <c r="O20" s="460"/>
      <c r="P20" s="655"/>
      <c r="Q20" s="487" t="s">
        <v>187</v>
      </c>
      <c r="R20" s="462">
        <v>1.2</v>
      </c>
      <c r="S20" s="487">
        <v>2.5</v>
      </c>
      <c r="T20" s="487" t="s">
        <v>187</v>
      </c>
      <c r="U20" s="462">
        <v>0.6</v>
      </c>
      <c r="V20" s="493"/>
      <c r="W20" s="459" t="s">
        <v>574</v>
      </c>
    </row>
    <row r="21" spans="1:23" x14ac:dyDescent="0.3">
      <c r="A21" s="455" t="s">
        <v>107</v>
      </c>
      <c r="B21" s="456"/>
      <c r="C21" s="456"/>
      <c r="D21" s="456"/>
      <c r="E21" s="456"/>
      <c r="F21" s="456"/>
      <c r="G21" s="135"/>
      <c r="H21" s="457"/>
      <c r="I21" s="940"/>
      <c r="J21" s="457"/>
      <c r="K21" s="457"/>
      <c r="L21" s="135"/>
      <c r="M21" s="135"/>
      <c r="N21" s="458"/>
      <c r="O21" s="458"/>
      <c r="P21" s="458"/>
      <c r="Q21" s="458"/>
    </row>
    <row r="22" spans="1:23" x14ac:dyDescent="0.3">
      <c r="A22" s="450" t="s">
        <v>360</v>
      </c>
      <c r="B22" s="456"/>
      <c r="C22" s="456"/>
      <c r="D22" s="456"/>
      <c r="E22" s="456"/>
      <c r="F22" s="456"/>
      <c r="G22" s="135"/>
      <c r="H22" s="457"/>
      <c r="I22" s="457"/>
      <c r="J22" s="457"/>
      <c r="K22" s="457"/>
      <c r="L22" s="135"/>
      <c r="M22" s="135"/>
      <c r="N22" s="458"/>
      <c r="O22" s="458"/>
      <c r="P22" s="458"/>
      <c r="Q22" s="458"/>
    </row>
    <row r="23" spans="1:23" x14ac:dyDescent="0.3">
      <c r="A23" s="463" t="s">
        <v>182</v>
      </c>
      <c r="B23" s="452" t="e">
        <f>IF(AND(#REF!="n/a",C9="n/a",C13="n/a"),"n/a",MAX(#REF!,C9,C13))</f>
        <v>#REF!</v>
      </c>
      <c r="D23" s="452" t="e">
        <f>IF(AND(#REF!="n/a",D9="n/a",D13="n/a"),"n/a",MAX(#REF!,D9,D13))</f>
        <v>#REF!</v>
      </c>
      <c r="E23" s="452"/>
      <c r="F23" s="452" t="e">
        <f>IF(AND(#REF!="n/a",F9="n/a",F13="n/a"),"n/a",MAX(#REF!,F9,F13))</f>
        <v>#REF!</v>
      </c>
      <c r="G23" s="452" t="e">
        <f>IF(AND(#REF!="n/a",G9="n/a",G13="n/a"),"n/a",MAX(#REF!,G9,G13))</f>
        <v>#REF!</v>
      </c>
      <c r="I23" s="452" t="e">
        <f>IF(AND(#REF!="n/a",J9="n/a",J13="n/a"),"n/a",MAX(#REF!,J9,J13))</f>
        <v>#REF!</v>
      </c>
      <c r="K23" s="452" t="e">
        <f>IF(AND(#REF!="n/a",K9="n/a",K13="n/a"),"n/a",MAX(#REF!,K9,K13))</f>
        <v>#REF!</v>
      </c>
      <c r="L23" s="452" t="e">
        <f>IF(AND(#REF!="n/a",L9="n/a",L13="n/a"),"n/a",MAX(#REF!,L9,L13))</f>
        <v>#REF!</v>
      </c>
      <c r="M23" s="452"/>
      <c r="N23" s="452" t="e">
        <f>IF(AND(#REF!="n/a",N9="n/a",N13="n/a"),"n/a",MAX(#REF!,N9,N13))</f>
        <v>#REF!</v>
      </c>
      <c r="P23" s="454" t="s">
        <v>361</v>
      </c>
      <c r="R23" s="454" t="s">
        <v>362</v>
      </c>
      <c r="S23" s="454"/>
      <c r="T23" s="487" t="s">
        <v>187</v>
      </c>
      <c r="U23" s="454" t="s">
        <v>97</v>
      </c>
    </row>
    <row r="24" spans="1:23" x14ac:dyDescent="0.3">
      <c r="A24" s="463" t="s">
        <v>182</v>
      </c>
      <c r="B24" s="452" t="e">
        <f>IF(AND(#REF!="n/a",C10="n/a",C14="n/a",C18="n/a"),"n/a",MAX(#REF!,C10,C14,C18))</f>
        <v>#REF!</v>
      </c>
      <c r="D24" s="452" t="e">
        <f>IF(AND(#REF!="n/a",D10="n/a",D14="n/a",D18="n/a"),"n/a",MAX(#REF!,D10,D14,D18))</f>
        <v>#REF!</v>
      </c>
      <c r="E24" s="452"/>
      <c r="F24" s="452" t="e">
        <f>IF(AND(#REF!="n/a",F10="n/a",F14="n/a",F18="n/a"),"n/a",MAX(#REF!,F10,F14,F18))</f>
        <v>#REF!</v>
      </c>
      <c r="G24" s="452" t="e">
        <f>IF(AND(#REF!="n/a",G10="n/a",G14="n/a",G18="n/a"),"n/a",MAX(#REF!,G10,G14,G18))</f>
        <v>#REF!</v>
      </c>
      <c r="I24" s="452" t="e">
        <f>IF(AND(#REF!="n/a",J10="n/a",J14="n/a",J18="n/a"),"n/a",MAX(#REF!,J10,J14,J18))</f>
        <v>#REF!</v>
      </c>
      <c r="K24" s="452" t="e">
        <f>IF(AND(#REF!="n/a",K10="n/a",K14="n/a",K18="n/a"),"n/a",MAX(#REF!,K10,K14,K18))</f>
        <v>#REF!</v>
      </c>
      <c r="L24" s="452" t="e">
        <f>IF(AND(#REF!="n/a",L10="n/a",L14="n/a",L18="n/a"),"n/a",MAX(#REF!,L10,L14,L18))</f>
        <v>#REF!</v>
      </c>
      <c r="M24" s="452"/>
      <c r="N24" s="452" t="e">
        <f>IF(AND(#REF!="n/a",N10="n/a",N14="n/a",N18="n/a"),"n/a",MAX(#REF!,N10,N14,N18))</f>
        <v>#REF!</v>
      </c>
      <c r="P24" s="454" t="s">
        <v>361</v>
      </c>
      <c r="R24" s="454" t="s">
        <v>362</v>
      </c>
      <c r="S24" s="454"/>
      <c r="T24" s="454" t="s">
        <v>363</v>
      </c>
      <c r="U24" s="454" t="s">
        <v>97</v>
      </c>
    </row>
    <row r="25" spans="1:23" x14ac:dyDescent="0.3">
      <c r="A25" s="463" t="s">
        <v>364</v>
      </c>
      <c r="B25" s="452">
        <f>MAX(C9:C20)</f>
        <v>1.1000000000000001</v>
      </c>
      <c r="D25" s="452">
        <f>MAX(D9:D20)</f>
        <v>9.8000000000000007</v>
      </c>
      <c r="E25" s="452"/>
      <c r="F25" s="452">
        <f>MAX(F9:F20)</f>
        <v>0.5</v>
      </c>
      <c r="G25" s="452">
        <f>MAX(G9:G20)</f>
        <v>0.4</v>
      </c>
      <c r="I25" s="453">
        <f>MAX(J9:J20)</f>
        <v>0</v>
      </c>
      <c r="K25" s="453">
        <f>MAX(K9:K20)</f>
        <v>0</v>
      </c>
      <c r="L25" s="453">
        <f>MAX(L9:L20)</f>
        <v>0</v>
      </c>
      <c r="M25" s="453"/>
      <c r="N25" s="453">
        <f>MAX(N9:N20)</f>
        <v>0</v>
      </c>
      <c r="P25" s="454" t="s">
        <v>361</v>
      </c>
      <c r="R25" s="454" t="s">
        <v>362</v>
      </c>
      <c r="S25" s="454"/>
      <c r="T25" s="454" t="s">
        <v>363</v>
      </c>
      <c r="U25" s="454" t="s">
        <v>97</v>
      </c>
    </row>
  </sheetData>
  <mergeCells count="6">
    <mergeCell ref="N1:Q1"/>
    <mergeCell ref="A3:D3"/>
    <mergeCell ref="A5:Q5"/>
    <mergeCell ref="B6:F6"/>
    <mergeCell ref="I6:N6"/>
    <mergeCell ref="P6:U6"/>
  </mergeCells>
  <conditionalFormatting sqref="T25:U25 D20 Q12:R12 Q16:U16 B21:Q22 P23:P24 R24:U24 K23:N25 I23:I25 B23:B25 D23:G25 G12:O12 G20 C16:O16 R23:S23 U23 C9:E11 G9:S11 C12:D12 T9:U12 F9:F12 C13:U15 C17:C20 H17:U20 F17:F20">
    <cfRule type="cellIs" dxfId="7" priority="58" operator="equal">
      <formula>"n/a"</formula>
    </cfRule>
  </conditionalFormatting>
  <conditionalFormatting sqref="P25">
    <cfRule type="cellIs" dxfId="6" priority="54" operator="equal">
      <formula>"n/a"</formula>
    </cfRule>
  </conditionalFormatting>
  <conditionalFormatting sqref="R25:S25">
    <cfRule type="cellIs" dxfId="5" priority="53" operator="equal">
      <formula>"n/a"</formula>
    </cfRule>
  </conditionalFormatting>
  <conditionalFormatting sqref="D17:D19 G17:G19">
    <cfRule type="cellIs" dxfId="4" priority="52" operator="equal">
      <formula>"n/a"</formula>
    </cfRule>
  </conditionalFormatting>
  <conditionalFormatting sqref="T23">
    <cfRule type="cellIs" dxfId="3" priority="17" operator="equal">
      <formula>"n/a"</formula>
    </cfRule>
  </conditionalFormatting>
  <conditionalFormatting sqref="E17:E20">
    <cfRule type="cellIs" dxfId="2" priority="12" operator="equal">
      <formula>"n/a"</formula>
    </cfRule>
  </conditionalFormatting>
  <conditionalFormatting sqref="E12">
    <cfRule type="cellIs" dxfId="1" priority="11" operator="equal">
      <formula>"n/a"</formula>
    </cfRule>
  </conditionalFormatting>
  <conditionalFormatting sqref="S12">
    <cfRule type="cellIs" dxfId="0" priority="6" operator="equal">
      <formula>"n/a"</formula>
    </cfRule>
  </conditionalFormatting>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1" ma:contentTypeDescription="Create a new document." ma:contentTypeScope="" ma:versionID="f71e341f187dc0f00af4b45b0c5c0274">
  <xsd:schema xmlns:xsd="http://www.w3.org/2001/XMLSchema" xmlns:xs="http://www.w3.org/2001/XMLSchema" xmlns:p="http://schemas.microsoft.com/office/2006/metadata/properties" xmlns:ns3="a0881c7e-bde8-497c-bcbe-18a05f14a854" xmlns:ns4="a555451d-518f-4a10-969e-f3a9a0f123ff" targetNamespace="http://schemas.microsoft.com/office/2006/metadata/properties" ma:root="true" ma:fieldsID="8c91d719bf9424794044a3a9bf5fadfa" ns3:_="" ns4:_="">
    <xsd:import namespace="a0881c7e-bde8-497c-bcbe-18a05f14a854"/>
    <xsd:import namespace="a555451d-518f-4a10-969e-f3a9a0f123ff"/>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51C6E3-ECE9-450E-B552-5CCE845181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a555451d-518f-4a10-969e-f3a9a0f123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2B98560-1662-413D-BE03-45BB8A863E1F}">
  <ds:schemaRefs>
    <ds:schemaRef ds:uri="http://purl.org/dc/terms/"/>
    <ds:schemaRef ds:uri="http://purl.org/dc/dcmitype/"/>
    <ds:schemaRef ds:uri="http://schemas.openxmlformats.org/package/2006/metadata/core-properties"/>
    <ds:schemaRef ds:uri="http://purl.org/dc/elements/1.1/"/>
    <ds:schemaRef ds:uri="http://schemas.microsoft.com/office/2006/metadata/properties"/>
    <ds:schemaRef ds:uri="a555451d-518f-4a10-969e-f3a9a0f123ff"/>
    <ds:schemaRef ds:uri="http://schemas.microsoft.com/office/2006/documentManagement/types"/>
    <ds:schemaRef ds:uri="http://schemas.microsoft.com/office/infopath/2007/PartnerControls"/>
    <ds:schemaRef ds:uri="a0881c7e-bde8-497c-bcbe-18a05f14a854"/>
    <ds:schemaRef ds:uri="http://www.w3.org/XML/1998/namespace"/>
  </ds:schemaRefs>
</ds:datastoreItem>
</file>

<file path=customXml/itemProps3.xml><?xml version="1.0" encoding="utf-8"?>
<ds:datastoreItem xmlns:ds="http://schemas.openxmlformats.org/officeDocument/2006/customXml" ds:itemID="{4070D930-C4D2-47F9-BDC1-A263595F5AD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Revision History</vt:lpstr>
      <vt:lpstr>TGL-UP3UP4 Power Map</vt:lpstr>
      <vt:lpstr>TGL Rails and Iccmax</vt:lpstr>
      <vt:lpstr>TGL PL POR</vt:lpstr>
      <vt:lpstr>DRAM_TGL</vt:lpstr>
      <vt:lpstr>ConnectedStandby</vt:lpstr>
      <vt:lpstr>H_IccMax</vt:lpstr>
      <vt:lpstr>'TGL Rails and Iccmax'!H_SKUs</vt:lpstr>
      <vt:lpstr>ICL_Product_Lines</vt:lpstr>
      <vt:lpstr>ICL_SKUs</vt:lpstr>
      <vt:lpstr>Load_Descriptions</vt:lpstr>
      <vt:lpstr>PD_Variants</vt:lpstr>
      <vt:lpstr>PG_Enable</vt:lpstr>
      <vt:lpstr>Power_Gates_Enable</vt:lpstr>
      <vt:lpstr>Premium_CEC_Load_Names</vt:lpstr>
      <vt:lpstr>'TGL Rails and Iccmax'!Print_Area</vt:lpstr>
      <vt:lpstr>S_IccMax</vt:lpstr>
      <vt:lpstr>'TGL Rails and Iccmax'!S_SKUs</vt:lpstr>
      <vt:lpstr>Segment_Tier</vt:lpstr>
      <vt:lpstr>Volume_Load_Names</vt:lpstr>
      <vt:lpstr>YU_CS_Enabled</vt:lpstr>
      <vt:lpstr>YU_Deep_Sleep</vt:lpstr>
      <vt:lpstr>YU_Memory_Type</vt:lpstr>
      <vt:lpstr>YU_Power_Settings</vt:lpstr>
      <vt:lpstr>YU_Pricing_Tier</vt:lpstr>
      <vt:lpstr>YU_SKU_Selection</vt:lpstr>
      <vt:lpstr>YU_SKUs</vt:lpstr>
      <vt:lpstr>YU_WoV_Enabled</vt:lpstr>
    </vt:vector>
  </TitlesOfParts>
  <Company>Intel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Tiger Lake UP3 UP4 UP3 Refresh Power Map</dc:title>
  <dc:creator>clarence.ho@intel.com</dc:creator>
  <cp:keywords>CTPClassification=CTP_IC:VisualMarkings=, CTPClassification=CTP_PUBLIC:VisualMarkings=, CTPClassification=CTP_NT</cp:keywords>
  <cp:lastModifiedBy>Murthy, Asha K</cp:lastModifiedBy>
  <dcterms:created xsi:type="dcterms:W3CDTF">2016-05-14T01:30:04Z</dcterms:created>
  <dcterms:modified xsi:type="dcterms:W3CDTF">2020-11-20T17:41:19Z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830535c0-495c-444e-bf1d-e57e32f26f89</vt:lpwstr>
  </property>
  <property fmtid="{D5CDD505-2E9C-101B-9397-08002B2CF9AE}" pid="3" name="CTP_BU">
    <vt:lpwstr>NA</vt:lpwstr>
  </property>
  <property fmtid="{D5CDD505-2E9C-101B-9397-08002B2CF9AE}" pid="4" name="CTP_TimeStamp">
    <vt:lpwstr>2020-08-25 14:28:53Z</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y fmtid="{D5CDD505-2E9C-101B-9397-08002B2CF9AE}" pid="8" name="ContentTypeId">
    <vt:lpwstr>0x010100C9AB131A33795349ACDBD6B8876A9E85</vt:lpwstr>
  </property>
</Properties>
</file>